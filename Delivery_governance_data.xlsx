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abat\Downloads\"/>
    </mc:Choice>
  </mc:AlternateContent>
  <xr:revisionPtr revIDLastSave="0" documentId="8_{6213DE9A-C7C9-44CB-9BF9-D78A7F96AD6E}" xr6:coauthVersionLast="47" xr6:coauthVersionMax="47" xr10:uidLastSave="{00000000-0000-0000-0000-000000000000}"/>
  <bookViews>
    <workbookView xWindow="-110" yWindow="-110" windowWidth="19420" windowHeight="11500" tabRatio="871" firstSheet="1" activeTab="6" xr2:uid="{DC9DB917-40C0-41F1-B94D-F7A8D7B53D47}"/>
    <workbookView xWindow="-110" yWindow="-110" windowWidth="19420" windowHeight="11500" firstSheet="1" activeTab="1" xr2:uid="{16A32D34-37D7-4591-AEEE-92628245A567}"/>
  </bookViews>
  <sheets>
    <sheet name="Index" sheetId="3" r:id="rId1"/>
    <sheet name="Process_Task_Dictionary" sheetId="4" r:id="rId2"/>
    <sheet name="Orders_Master" sheetId="1" r:id="rId3"/>
    <sheet name="Order_Task_Execution" sheetId="9" r:id="rId4"/>
    <sheet name="Hold_Reason_LOV" sheetId="6" r:id="rId5"/>
    <sheet name="Escalation_Matrix" sheetId="8" r:id="rId6"/>
    <sheet name="Login_Credential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7" i="10"/>
  <c r="G33" i="10"/>
  <c r="G34" i="10"/>
  <c r="G32" i="10"/>
  <c r="G29" i="10"/>
  <c r="G30" i="10"/>
  <c r="G31" i="10"/>
  <c r="G28" i="10"/>
  <c r="G24" i="10"/>
  <c r="G25" i="10"/>
  <c r="G26" i="10"/>
  <c r="G23" i="10"/>
  <c r="G19" i="10"/>
  <c r="G20" i="10"/>
  <c r="G21" i="10"/>
  <c r="G18" i="10"/>
  <c r="G16" i="10"/>
  <c r="G15" i="10"/>
  <c r="G13" i="10"/>
  <c r="G12" i="10"/>
  <c r="G10" i="10"/>
  <c r="G9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2" i="10"/>
  <c r="C3" i="10"/>
  <c r="C4" i="10"/>
  <c r="C5" i="10"/>
  <c r="C6" i="10"/>
  <c r="C7" i="10"/>
  <c r="C8" i="10"/>
  <c r="B2" i="10" a="1"/>
  <c r="B2" i="10" s="1"/>
  <c r="B3" i="10" a="1"/>
  <c r="B3" i="10" s="1"/>
  <c r="B4" i="10" a="1"/>
  <c r="B4" i="10" s="1"/>
  <c r="B5" i="10" a="1"/>
  <c r="B5" i="10" s="1"/>
  <c r="B6" i="10" a="1"/>
  <c r="B6" i="10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<sst xmlns="http://schemas.openxmlformats.org/spreadsheetml/2006/main" count="1508" uniqueCount="559">
  <si>
    <t>Order_ID</t>
  </si>
  <si>
    <t>Lifecycle_Stage</t>
  </si>
  <si>
    <t>Order_Start_Date</t>
  </si>
  <si>
    <t>Order_Status</t>
  </si>
  <si>
    <t>Overall_RAG</t>
  </si>
  <si>
    <t>SLA_Breach_Flag</t>
  </si>
  <si>
    <t>Themes</t>
  </si>
  <si>
    <t>Choose Theme...</t>
  </si>
  <si>
    <t>Location Strategy &amp; Cost Efficiency</t>
  </si>
  <si>
    <t>Talent &amp; Skills Capability</t>
  </si>
  <si>
    <t>Technology Adoption &amp; Innovation</t>
  </si>
  <si>
    <t>Service Delivery &amp; Operational Excellence</t>
  </si>
  <si>
    <t>Global Integration &amp; Strategic Alignment</t>
  </si>
  <si>
    <t>Value Delivered to Enterprise</t>
  </si>
  <si>
    <t>Task_ID</t>
  </si>
  <si>
    <t>Task_Name</t>
  </si>
  <si>
    <t>Task_Description</t>
  </si>
  <si>
    <t>Input_Type</t>
  </si>
  <si>
    <t>Task_Status</t>
  </si>
  <si>
    <t>Actual_Hours</t>
  </si>
  <si>
    <t>Hold_Reason</t>
  </si>
  <si>
    <t>Reassignment_Requested</t>
  </si>
  <si>
    <t>Escalation_Triggered</t>
  </si>
  <si>
    <t>Standard_TAT_Hours</t>
  </si>
  <si>
    <t>Amber_Threshold_%</t>
  </si>
  <si>
    <t>Red_Threshold_%</t>
  </si>
  <si>
    <t>Hold_Code</t>
  </si>
  <si>
    <t>Category</t>
  </si>
  <si>
    <t>SLA_Breach_Hours</t>
  </si>
  <si>
    <t>Escalate_To</t>
  </si>
  <si>
    <t>Current_Task_ID</t>
  </si>
  <si>
    <t>Task_Start_Date</t>
  </si>
  <si>
    <t>Assigned_To</t>
  </si>
  <si>
    <t>Hold_Reason_Code</t>
  </si>
  <si>
    <t>Default_Task_Owner</t>
  </si>
  <si>
    <t>Hold_Applicable (Y/N)</t>
  </si>
  <si>
    <t>Upstream_Task_ID</t>
  </si>
  <si>
    <t>Customer_Visible (Y/N)</t>
  </si>
  <si>
    <t>Active_Flag (Y/N)</t>
  </si>
  <si>
    <t>Lead to Order</t>
  </si>
  <si>
    <t>Primary Lead Creation</t>
  </si>
  <si>
    <t>Secondary Lead Creation</t>
  </si>
  <si>
    <t>Desktop RFS check</t>
  </si>
  <si>
    <t>Last Mile Solution Type (FTTx, IP, UBR) Validation</t>
  </si>
  <si>
    <t>Business Capex Approval based on BOQ &amp; SOQ</t>
  </si>
  <si>
    <t>Customer Proposal Submission</t>
  </si>
  <si>
    <t>Customer Acceptance/Purchase Order(PO)</t>
  </si>
  <si>
    <t>Customer Onboarding</t>
  </si>
  <si>
    <t>CAF Creation</t>
  </si>
  <si>
    <t>CF Creation</t>
  </si>
  <si>
    <t>CF Approval</t>
  </si>
  <si>
    <t>SAF Creation</t>
  </si>
  <si>
    <t>SAF Submission</t>
  </si>
  <si>
    <t>Build to Order</t>
  </si>
  <si>
    <t>RFS Check-Building RFS Validation</t>
  </si>
  <si>
    <t>SharePoint Update for CPC release</t>
  </si>
  <si>
    <t>ORN to Secondary Lead Tagging</t>
  </si>
  <si>
    <t>SAP ID and WBS creation against customer ORN</t>
  </si>
  <si>
    <t>Scope release to Construction PMO</t>
  </si>
  <si>
    <t>Scope Release to States for actual Last Mile Build</t>
  </si>
  <si>
    <t>WBS Creation</t>
  </si>
  <si>
    <t>UBR LOS Survey</t>
  </si>
  <si>
    <t>Solution Design Release</t>
  </si>
  <si>
    <t>BoQ/SoQ Generation</t>
  </si>
  <si>
    <t>UBR and IBD Construction</t>
  </si>
  <si>
    <t>O&amp;M HOTO</t>
  </si>
  <si>
    <t>Building RFS declaration</t>
  </si>
  <si>
    <t>Last Mile Build for Fiber (FTTX/Ethernet)</t>
  </si>
  <si>
    <t>Construction Survey-ISP</t>
  </si>
  <si>
    <t>Construction Survey-OSP</t>
  </si>
  <si>
    <t>Construction Survey-IBD</t>
  </si>
  <si>
    <t>Design Release</t>
  </si>
  <si>
    <t>OSP Build</t>
  </si>
  <si>
    <t>IBD Build</t>
  </si>
  <si>
    <t>ISP Build</t>
  </si>
  <si>
    <t>Network Solution JEP Task validation</t>
  </si>
  <si>
    <t>Network Solution Task closure</t>
  </si>
  <si>
    <t>Auto Sale Order (SO) Generated for material delivery</t>
  </si>
  <si>
    <t>Installation Work Order(IWO) Generated</t>
  </si>
  <si>
    <t>Manual SO Creation for required Material</t>
  </si>
  <si>
    <t>Material Delivery SO Status</t>
  </si>
  <si>
    <t>IWO Assigned</t>
  </si>
  <si>
    <t>Device/Consumable Issuance to Site engineer/Vendor</t>
  </si>
  <si>
    <t>Device Installation at Site</t>
  </si>
  <si>
    <t>IWO Closure</t>
  </si>
  <si>
    <t>Auto Service Provisioning completed</t>
  </si>
  <si>
    <t>Device MOP available for manual provisioning</t>
  </si>
  <si>
    <t>Auto Service Testing Result</t>
  </si>
  <si>
    <t>Test Work Order (TWO) Generated</t>
  </si>
  <si>
    <t>Test Work Order (TWO) Assigned</t>
  </si>
  <si>
    <t>Service Testing with customer</t>
  </si>
  <si>
    <t>Customer Acceptance document Signoff</t>
  </si>
  <si>
    <t>TWO closure</t>
  </si>
  <si>
    <t>NOC HOTO &amp; Billing trigger</t>
  </si>
  <si>
    <t>Order to Activation</t>
  </si>
  <si>
    <t>Last Mile Build for Wireless (UBR/FWA)</t>
  </si>
  <si>
    <t>L2O_01</t>
  </si>
  <si>
    <t>B2O_01</t>
  </si>
  <si>
    <t>L2O_02</t>
  </si>
  <si>
    <t>L2O_03</t>
  </si>
  <si>
    <t>L2O_04</t>
  </si>
  <si>
    <t>L2O_05</t>
  </si>
  <si>
    <t>L2O_06</t>
  </si>
  <si>
    <t>L2O_07</t>
  </si>
  <si>
    <t>COB_01</t>
  </si>
  <si>
    <t>COB_02</t>
  </si>
  <si>
    <t>COB_03</t>
  </si>
  <si>
    <t>COB_04</t>
  </si>
  <si>
    <t>COB_05</t>
  </si>
  <si>
    <t>B2O_02</t>
  </si>
  <si>
    <t>B2O_03</t>
  </si>
  <si>
    <t>B2O_04</t>
  </si>
  <si>
    <t>B2O_05</t>
  </si>
  <si>
    <t>B2O_06</t>
  </si>
  <si>
    <t>LMB_WL01</t>
  </si>
  <si>
    <t>LMB_WL02</t>
  </si>
  <si>
    <t>LMB_WL03</t>
  </si>
  <si>
    <t>LMB_WL04</t>
  </si>
  <si>
    <t>LMB_WL05</t>
  </si>
  <si>
    <t>LMB_WL06</t>
  </si>
  <si>
    <t>LMB_WL07</t>
  </si>
  <si>
    <t>LMB_W01</t>
  </si>
  <si>
    <t>LMB_W02</t>
  </si>
  <si>
    <t>LMB_W03</t>
  </si>
  <si>
    <t>LMB_W04</t>
  </si>
  <si>
    <t>LMB_W05</t>
  </si>
  <si>
    <t>LMB_W06</t>
  </si>
  <si>
    <t>LMB_W07</t>
  </si>
  <si>
    <t>LMB_W08</t>
  </si>
  <si>
    <t>LMB_W09</t>
  </si>
  <si>
    <t>LMB_W10</t>
  </si>
  <si>
    <t>LMB_W11</t>
  </si>
  <si>
    <t>O2A_01</t>
  </si>
  <si>
    <t>O2A_02</t>
  </si>
  <si>
    <t>O2A_03</t>
  </si>
  <si>
    <t>O2A_04</t>
  </si>
  <si>
    <t>O2A_05</t>
  </si>
  <si>
    <t>O2A_06</t>
  </si>
  <si>
    <t>O2A_07</t>
  </si>
  <si>
    <t>O2A_08</t>
  </si>
  <si>
    <t>O2A_09</t>
  </si>
  <si>
    <t>O2A_10</t>
  </si>
  <si>
    <t>O2A_11</t>
  </si>
  <si>
    <t>O2A_12</t>
  </si>
  <si>
    <t>O2A_13</t>
  </si>
  <si>
    <t>O2A_14</t>
  </si>
  <si>
    <t>O2A_15</t>
  </si>
  <si>
    <t>O2A_16</t>
  </si>
  <si>
    <t>O2A_17</t>
  </si>
  <si>
    <t>O2A_18</t>
  </si>
  <si>
    <t>O2A_19</t>
  </si>
  <si>
    <t>Order_Type</t>
  </si>
  <si>
    <t>System</t>
  </si>
  <si>
    <t>Manual</t>
  </si>
  <si>
    <t xml:space="preserve">Input_Type </t>
  </si>
  <si>
    <t>Activation failure</t>
  </si>
  <si>
    <t>Authorised personnel not available</t>
  </si>
  <si>
    <t>NA</t>
  </si>
  <si>
    <t>Customer not interested</t>
  </si>
  <si>
    <t>Electricity not available</t>
  </si>
  <si>
    <t>External wiring issue</t>
  </si>
  <si>
    <t>Sales</t>
  </si>
  <si>
    <t>Material not available at JC</t>
  </si>
  <si>
    <t>Payment not received</t>
  </si>
  <si>
    <t>7 Days</t>
  </si>
  <si>
    <t>15 Days</t>
  </si>
  <si>
    <t>24 Hrs</t>
  </si>
  <si>
    <t>Refuse to pay charges</t>
  </si>
  <si>
    <t>S2 label missing</t>
  </si>
  <si>
    <t>Services not started</t>
  </si>
  <si>
    <t>Society permission required</t>
  </si>
  <si>
    <t>Delayed_TAT</t>
  </si>
  <si>
    <t>Sales Ops</t>
  </si>
  <si>
    <t>N</t>
  </si>
  <si>
    <t>Y</t>
  </si>
  <si>
    <t>Network Planning</t>
  </si>
  <si>
    <t>Finance / PMO</t>
  </si>
  <si>
    <t>PMO</t>
  </si>
  <si>
    <t>Finance</t>
  </si>
  <si>
    <t>Field Ops</t>
  </si>
  <si>
    <t>NOC</t>
  </si>
  <si>
    <t>SAP / OSS</t>
  </si>
  <si>
    <t>Supply Chain</t>
  </si>
  <si>
    <t>Warehouse</t>
  </si>
  <si>
    <t>OSS / NOC</t>
  </si>
  <si>
    <t>Program Manager</t>
  </si>
  <si>
    <t>NOC / Billing</t>
  </si>
  <si>
    <t>Last Mile Build – Wireless</t>
  </si>
  <si>
    <t>Network Engineering</t>
  </si>
  <si>
    <t>Last Mile Build – Fiber</t>
  </si>
  <si>
    <t>ORD_1001</t>
  </si>
  <si>
    <t>ABC Bank HQ</t>
  </si>
  <si>
    <t>Wireless</t>
  </si>
  <si>
    <t>In Progress</t>
  </si>
  <si>
    <t>Red</t>
  </si>
  <si>
    <t>Yes</t>
  </si>
  <si>
    <t>ORD_1002</t>
  </si>
  <si>
    <t>XYZ Pharma Plant</t>
  </si>
  <si>
    <t>Wired</t>
  </si>
  <si>
    <t>Amber</t>
  </si>
  <si>
    <t>No</t>
  </si>
  <si>
    <t>ORD_1003</t>
  </si>
  <si>
    <t>FinServe Ltd</t>
  </si>
  <si>
    <t>ORD_1004</t>
  </si>
  <si>
    <t>RetailCorp DC</t>
  </si>
  <si>
    <t>ORD_1005</t>
  </si>
  <si>
    <t>TechPark SEZ</t>
  </si>
  <si>
    <t>Completed</t>
  </si>
  <si>
    <t>Green</t>
  </si>
  <si>
    <t>PMO_User_01</t>
  </si>
  <si>
    <t>HR02</t>
  </si>
  <si>
    <t>HR03</t>
  </si>
  <si>
    <t>HR01</t>
  </si>
  <si>
    <t>4 Days</t>
  </si>
  <si>
    <t>Resource</t>
  </si>
  <si>
    <t>Customer</t>
  </si>
  <si>
    <t>HR04</t>
  </si>
  <si>
    <t>HR05</t>
  </si>
  <si>
    <t>HR06</t>
  </si>
  <si>
    <t>72 Hrs</t>
  </si>
  <si>
    <t>Customer Premises</t>
  </si>
  <si>
    <t>HR07</t>
  </si>
  <si>
    <t>External Dependency</t>
  </si>
  <si>
    <t>HR08</t>
  </si>
  <si>
    <t>HR09</t>
  </si>
  <si>
    <t>Infrastructure</t>
  </si>
  <si>
    <t>HR10</t>
  </si>
  <si>
    <t>HR11</t>
  </si>
  <si>
    <t>Network</t>
  </si>
  <si>
    <t>HR12</t>
  </si>
  <si>
    <t>HR13</t>
  </si>
  <si>
    <t>Customer Data</t>
  </si>
  <si>
    <t>HR14</t>
  </si>
  <si>
    <t>HR15</t>
  </si>
  <si>
    <t>HR16</t>
  </si>
  <si>
    <t>Capacity</t>
  </si>
  <si>
    <t>HR17</t>
  </si>
  <si>
    <t>HR18</t>
  </si>
  <si>
    <t>HR19</t>
  </si>
  <si>
    <t>Regulatory / External</t>
  </si>
  <si>
    <t>HR20</t>
  </si>
  <si>
    <t>HR21</t>
  </si>
  <si>
    <t>HR22</t>
  </si>
  <si>
    <t>Commercial</t>
  </si>
  <si>
    <t>HR23</t>
  </si>
  <si>
    <t>Hardware</t>
  </si>
  <si>
    <t>HR24</t>
  </si>
  <si>
    <t>48 Hrs</t>
  </si>
  <si>
    <t>HR25</t>
  </si>
  <si>
    <t>HR26</t>
  </si>
  <si>
    <t>HR27</t>
  </si>
  <si>
    <t>Data Issue</t>
  </si>
  <si>
    <t>HR28</t>
  </si>
  <si>
    <t>HR29</t>
  </si>
  <si>
    <t>HR30</t>
  </si>
  <si>
    <t>Provisioning</t>
  </si>
  <si>
    <t>HR31</t>
  </si>
  <si>
    <t>Performance</t>
  </si>
  <si>
    <t>HR32</t>
  </si>
  <si>
    <t>HR33</t>
  </si>
  <si>
    <t>HR34</t>
  </si>
  <si>
    <t>Voice not provisioned / Centrex not working</t>
  </si>
  <si>
    <t>Service Quality</t>
  </si>
  <si>
    <t>Escalated_Team</t>
  </si>
  <si>
    <t>Description (what it contains + type of input)</t>
  </si>
  <si>
    <t>Delivery lifecycle to which the task belongs (e.g., Lead to Order (L2O), Customer Onboarding, Build to Order (B2O), Last Mile Build – Wireless/Fiber, Order to Activation (O2A))</t>
  </si>
  <si>
    <t>Unique identifier for the task, used as the primary reference key across all sheets (e.g., L2O_01, B2O_05, O2A_09)</t>
  </si>
  <si>
    <t>Business-friendly name of the task representing a discrete delivery activity (e.g., “WBS Creation”, “Device Installation at Site”)</t>
  </si>
  <si>
    <t>Short functional description explaining what the task does in business terms</t>
  </si>
  <si>
    <t>Baseline expected turnaround time for completing the task, expressed in hours</t>
  </si>
  <si>
    <t>Default role or team accountable for executing the task (e.g., Sales Ops, PMO, Field Ops, NOC)</t>
  </si>
  <si>
    <t>Flag indicating whether the task can legitimately be put on HOLD (Y = allowed, N = not allowed)</t>
  </si>
  <si>
    <t>Task_ID of the immediate predecessor task that must be completed before this task starts</t>
  </si>
  <si>
    <t>Indicates whether this task or milestone is visible to the customer (Y = visible, N = internal only)</t>
  </si>
  <si>
    <t>Indicates whether the task is currently active in the delivery model (used for versioning and decommissioning)</t>
  </si>
  <si>
    <t>Indicates how the task is executed: System (automated via OSS/BSS) or Manual (email, coordination, human-driven)</t>
  </si>
  <si>
    <t>Unique identifier for the customer order (one row per order)</t>
  </si>
  <si>
    <t>Name of the enterprise customer placing the order</t>
  </si>
  <si>
    <t>Current lifecycle stage of the order (L2O, B2O, Last Mile Build, O2A, Completed)</t>
  </si>
  <si>
    <t>Task_ID of the task currently in progress for the order</t>
  </si>
  <si>
    <t>Date on which the order entered the delivery lifecycle</t>
  </si>
  <si>
    <t>Overall order state (In Progress, Completed, In Risk)</t>
  </si>
  <si>
    <t>Overall health of the order derived from task-level SLAs (Green / Amber / Red)</t>
  </si>
  <si>
    <t>Indicates whether any SLA breach has occurred on the order (Yes / No)</t>
  </si>
  <si>
    <t>Type of order based on access technology: Wired (FTTx/Ethernet) or Wireless (UBR/FWA)</t>
  </si>
  <si>
    <t>Reference to the order against which the task is being executed</t>
  </si>
  <si>
    <t>Reference to the task definition from Process_Task_Dictionary</t>
  </si>
  <si>
    <t>Lifecycle stage in which this task is executed (L2O, B2O, LMB, O2A)</t>
  </si>
  <si>
    <t>Derived from Orders_Master to indicate Wired or Wireless execution context</t>
  </si>
  <si>
    <t>User, role, or team currently responsible for executing the task</t>
  </si>
  <si>
    <t>Execution status of the task (Completed, In Progress, TBD, In Risk)</t>
  </si>
  <si>
    <t>Date/time when task execution started</t>
  </si>
  <si>
    <t>Actual time spent so far (or total time taken) to execute the task</t>
  </si>
  <si>
    <t>Standardized hold reason code selected when a task is put on HOLD (from Hold_Reason_LOV)</t>
  </si>
  <si>
    <t>Indicates whether reassignment has been requested by the assignee (Yes / No)</t>
  </si>
  <si>
    <t>Indicates whether escalation has been triggered for this task (Yes / No)</t>
  </si>
  <si>
    <t>Unique code representing a standardized hold reason (e.g., HR01, HR15)</t>
  </si>
  <si>
    <t>Business-readable description explaining why the task is on HOLD</t>
  </si>
  <si>
    <t>Expected delay caused by this hold reason (e.g., 24 Hrs, 72 Hrs, 7 Days, NA)</t>
  </si>
  <si>
    <t>Classification of delay type (Customer, Network, Construction, Commercial, System, External Dependency)</t>
  </si>
  <si>
    <t>Escalation_Matrix</t>
  </si>
  <si>
    <t>Lifecycle stage to which the escalation rule applies (L2O, B2O, LMB – Wireless/Fiber, O2A)</t>
  </si>
  <si>
    <t>Time threshold (in hours) beyond which escalation should be triggered</t>
  </si>
  <si>
    <t>Role to which the issue is escalated (Program Manager, Delivery Head)</t>
  </si>
  <si>
    <t>Functional team expected to act on the escalation (Sales Ops, Construction, NOC, PMO)</t>
  </si>
  <si>
    <t>Process_Task_Dictionary (MASTER)</t>
  </si>
  <si>
    <t>Process_Task_Dictionary (MASTER) - Defines the end-to-end delivery process blueprint — tasks, ownership, SLAs, dependencies, and system vs manual touchpoints. Acts as the single source of truth for how delivery should run, independent of any specific order.</t>
  </si>
  <si>
    <t>Orders_Master - Provides a one-row snapshot per order showing where it is in the lifecycle and its overall health. Enables Program Managers and Leadership to track orders by exception and quickly identify risks.</t>
  </si>
  <si>
    <t>Order_Task_Execution - Captures real-time task execution data for each order — status, delays, holds, and escalations. Drives Ops inbox, SLA tracking, RAG calculation, reassignment, and escalation logic.</t>
  </si>
  <si>
    <t>Hold_Reason_LOV - Standardized list of allowed hold reasons with accountability, expected delay, and escalation guidance. Ensures delay reasons are structured, auditable, and analytically usable, eliminating free-text ambiguity.</t>
  </si>
  <si>
    <t>Escalation_Matrix - Defines who gets escalated and when, based on SLA breach thresholds at a lifecycle level. Enables time-based, consistent escalation without manual judgement or task-level noise.</t>
  </si>
  <si>
    <t>Customer Type</t>
  </si>
  <si>
    <t>Enterprise</t>
  </si>
  <si>
    <t>SMB</t>
  </si>
  <si>
    <t>Customer Ttype</t>
  </si>
  <si>
    <t>Enterprise/SMB</t>
  </si>
  <si>
    <t xml:space="preserve">Orders_Master </t>
  </si>
  <si>
    <t xml:space="preserve">Order_Task_Execution </t>
  </si>
  <si>
    <t>Hold_Reason_LOV</t>
  </si>
  <si>
    <t xml:space="preserve">Escalation_Matrix </t>
  </si>
  <si>
    <t>FieldOps_03</t>
  </si>
  <si>
    <t>NetEng_01</t>
  </si>
  <si>
    <t>FieldOps_04</t>
  </si>
  <si>
    <t>FieldOps_01</t>
  </si>
  <si>
    <t>FieldOps_02</t>
  </si>
  <si>
    <t>Warehouse_01</t>
  </si>
  <si>
    <t>NOC_01</t>
  </si>
  <si>
    <t>NOC_02</t>
  </si>
  <si>
    <t>Billing_01</t>
  </si>
  <si>
    <t>Sheet Name</t>
  </si>
  <si>
    <t>Remember it as</t>
  </si>
  <si>
    <t>What it Aims to Do (Plain English)</t>
  </si>
  <si>
    <t>Column Names (What’s Inside)</t>
  </si>
  <si>
    <t>Data Nature</t>
  </si>
  <si>
    <t>Process_Task_Dictionary</t>
  </si>
  <si>
    <t>The Blueprint</t>
  </si>
  <si>
    <t>Lifecycle_Stage, Task_ID, Task_Name, Task_Description, Input_Type, Standard_TAT_Hours, Default_Task_Owner, Hold_Applicable (Y/N), Escalation_Applicable (Y/N), Upstream_Task_ID, Customer_Visible (Y/N), Active_Flag (Y/N)</t>
  </si>
  <si>
    <t>Orders_Master</t>
  </si>
  <si>
    <t>The Dashboard</t>
  </si>
  <si>
    <t>Transactional (Order-level)</t>
  </si>
  <si>
    <t>Order_Task_Execution</t>
  </si>
  <si>
    <t>The Work Log</t>
  </si>
  <si>
    <t>Order_ID, Task_ID, Lifecycle_Stage, Assigned_To, Task_Status, Task_Start_Date, Actual_Hours, Hold_Reason_Code, Reassignment_Requested (Yes/No), Escalation_Triggered (Yes/No)</t>
  </si>
  <si>
    <t>Transactional (Task-level, grows over time)</t>
  </si>
  <si>
    <t>The Excuse Dictionary</t>
  </si>
  <si>
    <t>Hold_Code, Hold_Reason, Responsibility, Delayed_TAT, Category, Escalation_Matrix</t>
  </si>
  <si>
    <t>Lookup / Static</t>
  </si>
  <si>
    <t>The Rulebook for Escalation</t>
  </si>
  <si>
    <t>Lifecycle_Stage, SLA_Breach_Hours, Escalate_To, Escalated_Team</t>
  </si>
  <si>
    <t>Lookup / Policy-driven</t>
  </si>
  <si>
    <t>Defines how delivery should work — tasks, sequence, ownership, SLA, and visibility across the entire lifecycle</t>
  </si>
  <si>
    <t>Lookup / Static (does not change per order)</t>
  </si>
  <si>
    <t>Provides one-line status per order so PMs and leaders can see where each order is and whether it is healthy</t>
  </si>
  <si>
    <t>Records what is actually happening on the ground — every task executed, by whom, with delays, holds, and escalations</t>
  </si>
  <si>
    <t>Standardizes why tasks are delayed, who is responsible, and expected impact — removes free-text ambiguity</t>
  </si>
  <si>
    <t>Defines when and to whom issues are escalated, based on lifecycle and SLA breach duration</t>
  </si>
  <si>
    <t>Delivery Governance Data Model — Master Clarity Table</t>
  </si>
  <si>
    <t>Circle/Region</t>
  </si>
  <si>
    <t>Order_ID, Customer_Name, Customer_Type (SMB / Enterprise), Circle/Region, Lifecycle_Stage, Current_Task_ID, Order_Type (Wired / Wireless), Order_Start_Date, Order_Status, Overall_RAG, SLA_Breach_Flag</t>
  </si>
  <si>
    <t>Cricle/Region</t>
  </si>
  <si>
    <t>Mention the Circle</t>
  </si>
  <si>
    <t>Mumbai</t>
  </si>
  <si>
    <t>Hyderabad</t>
  </si>
  <si>
    <t>Bengaluru</t>
  </si>
  <si>
    <t>Pune</t>
  </si>
  <si>
    <t>Chennai</t>
  </si>
  <si>
    <t>Type</t>
  </si>
  <si>
    <t>Login_ID</t>
  </si>
  <si>
    <t>Password</t>
  </si>
  <si>
    <t>Team_Name</t>
  </si>
  <si>
    <t>Active_Flag</t>
  </si>
  <si>
    <t>Client_Name</t>
  </si>
  <si>
    <t>POC_Name</t>
  </si>
  <si>
    <t xml:space="preserve">Alex </t>
  </si>
  <si>
    <t>Barbara</t>
  </si>
  <si>
    <t>Cole</t>
  </si>
  <si>
    <t>Dom</t>
  </si>
  <si>
    <t>Eleanor</t>
  </si>
  <si>
    <t>Leader</t>
  </si>
  <si>
    <t>Leadership</t>
  </si>
  <si>
    <t>Program</t>
  </si>
  <si>
    <t>POC_name</t>
  </si>
  <si>
    <t>Name of the person who will using the tool</t>
  </si>
  <si>
    <t>Operations</t>
  </si>
  <si>
    <t>Operations_Customer Onboarding</t>
  </si>
  <si>
    <t>Operations_Build to Order</t>
  </si>
  <si>
    <t>Operations_Last Mile Build Wireless</t>
  </si>
  <si>
    <t>Operations_Last Mile Build Wired</t>
  </si>
  <si>
    <t>Operations_Order to Activation</t>
  </si>
  <si>
    <t>Program Lead_01</t>
  </si>
  <si>
    <t>Program Lead_02</t>
  </si>
  <si>
    <t>Program Lead_03</t>
  </si>
  <si>
    <t>OPS_L2O</t>
  </si>
  <si>
    <t>OPS_ONBOARDING</t>
  </si>
  <si>
    <t>OPS_B2O</t>
  </si>
  <si>
    <t>OPS_WL_SURVEY</t>
  </si>
  <si>
    <t>OPS_WL_BUILD</t>
  </si>
  <si>
    <t>OPS_FIBER_SURVEY</t>
  </si>
  <si>
    <t>OPS_FIBER_BUILD</t>
  </si>
  <si>
    <t>OPS_INSTALL</t>
  </si>
  <si>
    <t>Designation</t>
  </si>
  <si>
    <t>OPS_BILLING</t>
  </si>
  <si>
    <t>Manager_Lead to Order</t>
  </si>
  <si>
    <t>Manager_Customer Onboarding</t>
  </si>
  <si>
    <t>Manager_Build to Order</t>
  </si>
  <si>
    <t>Manager_Last Mile Build Wireless</t>
  </si>
  <si>
    <t>Manager_Last Mile Build Wired</t>
  </si>
  <si>
    <t>Manager_Order to Activation</t>
  </si>
  <si>
    <t>Reports to</t>
  </si>
  <si>
    <t>Walter.white</t>
  </si>
  <si>
    <t>Rohan.Gupta</t>
  </si>
  <si>
    <t>Anjali.Mehra</t>
  </si>
  <si>
    <t>Sneha.Iyer</t>
  </si>
  <si>
    <t>Mohit.Jain</t>
  </si>
  <si>
    <t>Karthik.Rao</t>
  </si>
  <si>
    <t>Neelam.Singh</t>
  </si>
  <si>
    <t>Arjun.Malhotra</t>
  </si>
  <si>
    <t>Priti.Kulkarni</t>
  </si>
  <si>
    <t>Suresh.Nair</t>
  </si>
  <si>
    <t>Deepa.Menon</t>
  </si>
  <si>
    <t>Rahul.Verma</t>
  </si>
  <si>
    <t>Nisha.Kapoor</t>
  </si>
  <si>
    <t>Vinod.Sharma</t>
  </si>
  <si>
    <t>Kavita.Desai</t>
  </si>
  <si>
    <t>Ramesh.Patil</t>
  </si>
  <si>
    <t>Sunita.Roy</t>
  </si>
  <si>
    <t>Manish.Khanna</t>
  </si>
  <si>
    <t>Ritu.Arora</t>
  </si>
  <si>
    <t>Jessie.pinkman</t>
  </si>
  <si>
    <t>Saul.goodman</t>
  </si>
  <si>
    <t>Hank.schrader</t>
  </si>
  <si>
    <t>Gus.fring</t>
  </si>
  <si>
    <t>Sam.jackson</t>
  </si>
  <si>
    <t>Steve.har</t>
  </si>
  <si>
    <t>Dustin.hen</t>
  </si>
  <si>
    <t>Lucas.sin</t>
  </si>
  <si>
    <t>Max.mad</t>
  </si>
  <si>
    <t>Will.kol</t>
  </si>
  <si>
    <t>Mike.dor</t>
  </si>
  <si>
    <t>Jason.y</t>
  </si>
  <si>
    <t>Simon.c</t>
  </si>
  <si>
    <t>Paul.p</t>
  </si>
  <si>
    <t>KAM_L2O</t>
  </si>
  <si>
    <t>KAM_Onboarding</t>
  </si>
  <si>
    <t>CFM</t>
  </si>
  <si>
    <t>Field Engineer</t>
  </si>
  <si>
    <t>Analyst</t>
  </si>
  <si>
    <t>Delivery Lead</t>
  </si>
  <si>
    <t>Escalation_Level</t>
  </si>
  <si>
    <t>Escalated_To_Name</t>
  </si>
  <si>
    <t>Level 1</t>
  </si>
  <si>
    <t>Level 2</t>
  </si>
  <si>
    <t>Escalated_To_Login</t>
  </si>
  <si>
    <t>Escalation_Role</t>
  </si>
  <si>
    <t>Ops Manager</t>
  </si>
  <si>
    <t>Program Lead</t>
  </si>
  <si>
    <t>steve.har@telcotoday.com</t>
  </si>
  <si>
    <t>jason.y@telcotoday.com</t>
  </si>
  <si>
    <t>dustin.hen@telcotoday.com</t>
  </si>
  <si>
    <t>paul.p@telcotoday.com</t>
  </si>
  <si>
    <t>lucas.sin@telcotoday.com</t>
  </si>
  <si>
    <t>max.mad@telcotoday.com</t>
  </si>
  <si>
    <t>simon.c@telcotoday.com</t>
  </si>
  <si>
    <t>will.kol@telcotoday.com</t>
  </si>
  <si>
    <t>mike.dor@telcotoday.com</t>
  </si>
  <si>
    <t>Any</t>
  </si>
  <si>
    <t>Customer reschedule</t>
  </si>
  <si>
    <t>Documents pending</t>
  </si>
  <si>
    <t>Door lock</t>
  </si>
  <si>
    <t>Last Mile Build – Wireless / Fiber</t>
  </si>
  <si>
    <t>Engineer reschedule</t>
  </si>
  <si>
    <t>Inside home wiring / cabling issue</t>
  </si>
  <si>
    <t>Logical connectivity failure</t>
  </si>
  <si>
    <t>Name &amp; address validation</t>
  </si>
  <si>
    <t>No / low power at S2</t>
  </si>
  <si>
    <t>OTB required</t>
  </si>
  <si>
    <t>OTB required – cable length &gt;80m</t>
  </si>
  <si>
    <t>OTB required – cable routing &lt;80m</t>
  </si>
  <si>
    <t>OTB required – land owner objection</t>
  </si>
  <si>
    <t>OTB required – routing / road crossing</t>
  </si>
  <si>
    <t>OTB required – all 4 ports full</t>
  </si>
  <si>
    <t>OTB shifting – land owner objection</t>
  </si>
  <si>
    <t>Device dead on arrival</t>
  </si>
  <si>
    <t>Port / PON port issue</t>
  </si>
  <si>
    <t>S2 capacity full</t>
  </si>
  <si>
    <t>S2 ID mismatch</t>
  </si>
  <si>
    <t>Sales commitment issues</t>
  </si>
  <si>
    <t>Slow speed / unable to browse</t>
  </si>
  <si>
    <t>System / application issue</t>
  </si>
  <si>
    <t>Escalation Type</t>
  </si>
  <si>
    <t>Auto or Manual</t>
  </si>
  <si>
    <t>Auto</t>
  </si>
  <si>
    <t>Capture and register the initial enterprise customer lead in the system.</t>
  </si>
  <si>
    <t>Create supporting or downstream leads linked to the primary opportunity.</t>
  </si>
  <si>
    <t>Validate service feasibility remotely using existing network data and records.</t>
  </si>
  <si>
    <t>Finalise the last-mile delivery solution based on feasibility and customer requirements.</t>
  </si>
  <si>
    <t>Secure internal capital approval based on estimated build and material costs.</t>
  </si>
  <si>
    <t>Submit the commercial and technical proposal to the customer for review.</t>
  </si>
  <si>
    <t>Receive formal customer acceptance and purchase order to proceed.</t>
  </si>
  <si>
    <t>Create the Customer Application Form to initiate onboarding.</t>
  </si>
  <si>
    <t>Generate the Customer Form capturing service and billing details.</t>
  </si>
  <si>
    <t>Validate and approve customer information for downstream processing.</t>
  </si>
  <si>
    <t>Create the Service Activation Form to initiate service setup.</t>
  </si>
  <si>
    <t>Submit the Service Activation Form to trigger provisioning workflows.</t>
  </si>
  <si>
    <t>Confirm building readiness for service delivery and construction.</t>
  </si>
  <si>
    <t>Update project documentation to enable CPC and construction release.</t>
  </si>
  <si>
    <t>Link the order reference number to secondary leads for tracking.</t>
  </si>
  <si>
    <t>Create SAP project and WBS structures for cost and execution tracking.</t>
  </si>
  <si>
    <t>Hand over approved scope to the construction management team.</t>
  </si>
  <si>
    <t>Release construction scope to regional or state execution teams.</t>
  </si>
  <si>
    <t>Create work breakdown structure for wireless last-mile execution.</t>
  </si>
  <si>
    <t>Conduct line-of-sight survey for wireless connectivity feasibility.</t>
  </si>
  <si>
    <t>Finalise and release the wireless network design.</t>
  </si>
  <si>
    <t>Generate bill and schedule of quantities for wireless build.</t>
  </si>
  <si>
    <t>Execute wireless infrastructure and in-building deployment.</t>
  </si>
  <si>
    <t>Hand over the deployed wireless network to operations and maintenance.</t>
  </si>
  <si>
    <t>Declare the wireless site ready for service activation.</t>
  </si>
  <si>
    <t>Create work breakdown structure for fiber last-mile execution.</t>
  </si>
  <si>
    <t>Conduct in-building survey for service provider infrastructure.</t>
  </si>
  <si>
    <t>Conduct outside plant survey for external fiber routing.</t>
  </si>
  <si>
    <t>Conduct in-building distribution survey for fiber layout.</t>
  </si>
  <si>
    <t>Finalise and release detailed fiber network design.</t>
  </si>
  <si>
    <t>Generate bill and schedule of quantities for fiber build.</t>
  </si>
  <si>
    <t>Execute outside plant fiber construction activities.</t>
  </si>
  <si>
    <t>Execute in-building fiber deployment.</t>
  </si>
  <si>
    <t>Complete service provider infrastructure setup.</t>
  </si>
  <si>
    <t>Hand over the fiber network to operations and maintenance.</t>
  </si>
  <si>
    <t>Declare fiber infrastructure ready for service activation.</t>
  </si>
  <si>
    <t>Validate network solution tasks in the enterprise portal.</t>
  </si>
  <si>
    <t>Close network solution validation tasks after approval.</t>
  </si>
  <si>
    <t>Automatically generate sales order for material delivery.</t>
  </si>
  <si>
    <t>Create work order for installation activities.</t>
  </si>
  <si>
    <t>Manually create sales order where automation is not applicable.</t>
  </si>
  <si>
    <t>Track delivery status of ordered materials.</t>
  </si>
  <si>
    <t>Assign installation work order to execution team or vendor.</t>
  </si>
  <si>
    <t>Issue required devices and consumables to field teams.</t>
  </si>
  <si>
    <t>Install devices at the customer location.</t>
  </si>
  <si>
    <t>Close installation work order upon completion.</t>
  </si>
  <si>
    <t>Automatically provision services on the network.</t>
  </si>
  <si>
    <t>Provide method of procedure for manual provisioning if required.</t>
  </si>
  <si>
    <t>Execute and capture automated service testing results.</t>
  </si>
  <si>
    <t>Generate work order for service testing activities.</t>
  </si>
  <si>
    <t>Assign test work order to execution team.</t>
  </si>
  <si>
    <t>Perform joint service testing with the customer.</t>
  </si>
  <si>
    <t>Obtain formal customer signoff after successful testing.</t>
  </si>
  <si>
    <t>Close test work order after completion.</t>
  </si>
  <si>
    <t>Hand over service to NOC and trigger billing activation.</t>
  </si>
  <si>
    <t>Lifecycle where these Hold reasons fall in</t>
  </si>
  <si>
    <t>Login Credentials for all personas along with the organization hierarchy</t>
  </si>
  <si>
    <t>Login_Credentials</t>
  </si>
  <si>
    <t>User role classification defining access scope within the system (e.g., Leadership, Program, Operations, Customer). Input type: predefined role value (text)</t>
  </si>
  <si>
    <t>Unique user identifier used for authentication and login (typically an official email ID). Input type: text, unique</t>
  </si>
  <si>
    <t>User password used for login authentication (demo or encrypted in real implementation). Input type: text</t>
  </si>
  <si>
    <t>Specific order mapped to the user (applicable mainly for Customer users; NA for others). Input type: Order reference or NA</t>
  </si>
  <si>
    <t>Name of the user or point of contact associated with the login ID. Input type: text</t>
  </si>
  <si>
    <t>User’s role or designation within the organization (e.g., PMO, Field Engineer, Manager). Input type: text</t>
  </si>
  <si>
    <t>Reporting manager or supervisory role for the user (used for hierarchy and escalation logic). Input type: text or NA</t>
  </si>
  <si>
    <t>Team or functional unit the user belongs to (used to filter tasks and orders). Input type: predefined team name</t>
  </si>
  <si>
    <t>Indicates whether the login is active and allowed system access (Y/N). Input type: 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</si>
</sst>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2E6E9E"/>
      <name val="Graphik"/>
      <family val="2"/>
    </font>
    <font>
      <sz val="9"/>
      <color theme="1"/>
      <name val="Graphik Light"/>
      <family val="2"/>
    </font>
    <font>
      <sz val="9"/>
      <color theme="0"/>
      <name val="Graphik Light"/>
      <family val="2"/>
    </font>
    <font>
      <sz val="8"/>
      <name val="Aptos Narrow"/>
      <family val="2"/>
      <scheme val="minor"/>
    </font>
    <font>
      <b/>
      <sz val="10"/>
      <color theme="1"/>
      <name val="Graphik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FEFFC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rgb="FFC5DBEC"/>
      </left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 style="medium">
        <color rgb="FFC5DBEC"/>
      </right>
      <top style="medium">
        <color rgb="FFC5DBEC"/>
      </top>
      <bottom style="medium">
        <color rgb="FFC5DBE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/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imon.c@telcotoday.com" TargetMode="External"/><Relationship Id="rId3" Type="http://schemas.openxmlformats.org/officeDocument/2006/relationships/hyperlink" Target="mailto:dustin.hen@telcotoday.com" TargetMode="External"/><Relationship Id="rId7" Type="http://schemas.openxmlformats.org/officeDocument/2006/relationships/hyperlink" Target="mailto:max.mad@telcotoday.com" TargetMode="External"/><Relationship Id="rId12" Type="http://schemas.openxmlformats.org/officeDocument/2006/relationships/hyperlink" Target="mailto:paul.p@telcotoday.com" TargetMode="External"/><Relationship Id="rId2" Type="http://schemas.openxmlformats.org/officeDocument/2006/relationships/hyperlink" Target="mailto:jason.y@telcotoday.com" TargetMode="External"/><Relationship Id="rId1" Type="http://schemas.openxmlformats.org/officeDocument/2006/relationships/hyperlink" Target="mailto:steve.har@telcotoday.com" TargetMode="External"/><Relationship Id="rId6" Type="http://schemas.openxmlformats.org/officeDocument/2006/relationships/hyperlink" Target="mailto:jason.y@telcotoday.com" TargetMode="External"/><Relationship Id="rId11" Type="http://schemas.openxmlformats.org/officeDocument/2006/relationships/hyperlink" Target="mailto:mike.dor@telcotoday.com" TargetMode="External"/><Relationship Id="rId5" Type="http://schemas.openxmlformats.org/officeDocument/2006/relationships/hyperlink" Target="mailto:lucas.sin@telcotoday.com" TargetMode="External"/><Relationship Id="rId10" Type="http://schemas.openxmlformats.org/officeDocument/2006/relationships/hyperlink" Target="mailto:simon.c@telcotoday.com" TargetMode="External"/><Relationship Id="rId4" Type="http://schemas.openxmlformats.org/officeDocument/2006/relationships/hyperlink" Target="mailto:paul.p@telcotoday.com" TargetMode="External"/><Relationship Id="rId9" Type="http://schemas.openxmlformats.org/officeDocument/2006/relationships/hyperlink" Target="mailto:will.kol@telcotoday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am@623" TargetMode="External"/><Relationship Id="rId7" Type="http://schemas.openxmlformats.org/officeDocument/2006/relationships/hyperlink" Target="mailto:steve@823" TargetMode="External"/><Relationship Id="rId2" Type="http://schemas.openxmlformats.org/officeDocument/2006/relationships/hyperlink" Target="mailto:barbara@223" TargetMode="External"/><Relationship Id="rId1" Type="http://schemas.openxmlformats.org/officeDocument/2006/relationships/hyperlink" Target="mailto:alex@123" TargetMode="External"/><Relationship Id="rId6" Type="http://schemas.openxmlformats.org/officeDocument/2006/relationships/hyperlink" Target="mailto:steve@823" TargetMode="External"/><Relationship Id="rId5" Type="http://schemas.openxmlformats.org/officeDocument/2006/relationships/hyperlink" Target="mailto:barbara@xyz.com" TargetMode="External"/><Relationship Id="rId4" Type="http://schemas.openxmlformats.org/officeDocument/2006/relationships/hyperlink" Target="mailto:alex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70CE-FA89-4154-B950-577B0C1A8F09}">
  <dimension ref="B2:H79"/>
  <sheetViews>
    <sheetView topLeftCell="A67" workbookViewId="0">
      <selection activeCell="C85" sqref="C85"/>
    </sheetView>
    <sheetView workbookViewId="1"/>
  </sheetViews>
  <sheetFormatPr defaultColWidth="8.7265625" defaultRowHeight="14.5" x14ac:dyDescent="0.35"/>
  <cols>
    <col min="1" max="1" width="2.453125" style="2" customWidth="1"/>
    <col min="2" max="2" width="21.36328125" style="1" bestFit="1" customWidth="1"/>
    <col min="3" max="3" width="132.1796875" style="2" bestFit="1" customWidth="1"/>
    <col min="4" max="4" width="22" style="2" bestFit="1" customWidth="1"/>
    <col min="5" max="5" width="169.1796875" style="2" bestFit="1" customWidth="1"/>
    <col min="6" max="6" width="34.36328125" style="2" bestFit="1" customWidth="1"/>
    <col min="7" max="7" width="5" style="2" customWidth="1"/>
    <col min="8" max="8" width="38.1796875" style="2" hidden="1" customWidth="1"/>
    <col min="9" max="9" width="8.7265625" style="2"/>
    <col min="10" max="10" width="16.36328125" style="2" bestFit="1" customWidth="1"/>
    <col min="11" max="11" width="18.08984375" style="2" bestFit="1" customWidth="1"/>
    <col min="12" max="12" width="8.7265625" style="2"/>
    <col min="13" max="13" width="16.36328125" style="2" bestFit="1" customWidth="1"/>
    <col min="14" max="14" width="18.08984375" style="2" bestFit="1" customWidth="1"/>
    <col min="15" max="16384" width="8.7265625" style="2"/>
  </cols>
  <sheetData>
    <row r="2" spans="2:8" ht="15" thickBot="1" x14ac:dyDescent="0.4">
      <c r="B2" s="13" t="s">
        <v>356</v>
      </c>
      <c r="C2" s="13"/>
    </row>
    <row r="3" spans="2:8" ht="15" thickBot="1" x14ac:dyDescent="0.4">
      <c r="B3" s="3" t="s">
        <v>329</v>
      </c>
      <c r="C3" s="4" t="s">
        <v>331</v>
      </c>
      <c r="D3" s="4" t="s">
        <v>330</v>
      </c>
      <c r="E3" s="4" t="s">
        <v>332</v>
      </c>
      <c r="F3" s="4" t="s">
        <v>333</v>
      </c>
    </row>
    <row r="4" spans="2:8" x14ac:dyDescent="0.35">
      <c r="B4" s="11" t="s">
        <v>334</v>
      </c>
      <c r="C4" s="12" t="s">
        <v>350</v>
      </c>
      <c r="D4" s="12" t="s">
        <v>335</v>
      </c>
      <c r="E4" s="12" t="s">
        <v>336</v>
      </c>
      <c r="F4" s="12" t="s">
        <v>351</v>
      </c>
    </row>
    <row r="5" spans="2:8" x14ac:dyDescent="0.35">
      <c r="B5" s="11" t="s">
        <v>337</v>
      </c>
      <c r="C5" s="12" t="s">
        <v>352</v>
      </c>
      <c r="D5" s="12" t="s">
        <v>338</v>
      </c>
      <c r="E5" s="12" t="s">
        <v>358</v>
      </c>
      <c r="F5" s="12" t="s">
        <v>339</v>
      </c>
    </row>
    <row r="6" spans="2:8" x14ac:dyDescent="0.35">
      <c r="B6" s="11" t="s">
        <v>340</v>
      </c>
      <c r="C6" s="12" t="s">
        <v>353</v>
      </c>
      <c r="D6" s="12" t="s">
        <v>341</v>
      </c>
      <c r="E6" s="12" t="s">
        <v>342</v>
      </c>
      <c r="F6" s="12" t="s">
        <v>343</v>
      </c>
    </row>
    <row r="7" spans="2:8" x14ac:dyDescent="0.35">
      <c r="B7" s="11" t="s">
        <v>318</v>
      </c>
      <c r="C7" s="12" t="s">
        <v>354</v>
      </c>
      <c r="D7" s="12" t="s">
        <v>344</v>
      </c>
      <c r="E7" s="12" t="s">
        <v>345</v>
      </c>
      <c r="F7" s="12" t="s">
        <v>346</v>
      </c>
    </row>
    <row r="8" spans="2:8" x14ac:dyDescent="0.35">
      <c r="B8" s="11" t="s">
        <v>300</v>
      </c>
      <c r="C8" s="12" t="s">
        <v>355</v>
      </c>
      <c r="D8" s="12" t="s">
        <v>347</v>
      </c>
      <c r="E8" s="12" t="s">
        <v>348</v>
      </c>
      <c r="F8" s="12" t="s">
        <v>349</v>
      </c>
    </row>
    <row r="10" spans="2:8" ht="34.5" customHeight="1" thickBot="1" x14ac:dyDescent="0.4">
      <c r="B10" s="13" t="s">
        <v>306</v>
      </c>
      <c r="C10" s="13"/>
    </row>
    <row r="11" spans="2:8" ht="45.65" customHeight="1" thickBot="1" x14ac:dyDescent="0.4">
      <c r="B11" s="3" t="s">
        <v>305</v>
      </c>
      <c r="C11" s="4" t="s">
        <v>264</v>
      </c>
      <c r="H11" s="3" t="s">
        <v>6</v>
      </c>
    </row>
    <row r="12" spans="2:8" ht="16" customHeight="1" x14ac:dyDescent="0.35">
      <c r="B12" s="11" t="s">
        <v>1</v>
      </c>
      <c r="C12" s="12" t="s">
        <v>265</v>
      </c>
      <c r="H12" s="6" t="s">
        <v>7</v>
      </c>
    </row>
    <row r="13" spans="2:8" ht="16" customHeight="1" x14ac:dyDescent="0.35">
      <c r="B13" s="11" t="s">
        <v>14</v>
      </c>
      <c r="C13" s="12" t="s">
        <v>266</v>
      </c>
      <c r="H13" s="6" t="s">
        <v>8</v>
      </c>
    </row>
    <row r="14" spans="2:8" ht="16" customHeight="1" x14ac:dyDescent="0.35">
      <c r="B14" s="11" t="s">
        <v>15</v>
      </c>
      <c r="C14" s="12" t="s">
        <v>267</v>
      </c>
      <c r="H14" s="6" t="s">
        <v>9</v>
      </c>
    </row>
    <row r="15" spans="2:8" ht="16" customHeight="1" x14ac:dyDescent="0.35">
      <c r="B15" s="11" t="s">
        <v>16</v>
      </c>
      <c r="C15" s="12" t="s">
        <v>268</v>
      </c>
      <c r="H15" s="6" t="s">
        <v>10</v>
      </c>
    </row>
    <row r="16" spans="2:8" ht="16" customHeight="1" x14ac:dyDescent="0.35">
      <c r="B16" s="11" t="s">
        <v>17</v>
      </c>
      <c r="C16" s="12" t="s">
        <v>275</v>
      </c>
      <c r="H16" s="6" t="s">
        <v>11</v>
      </c>
    </row>
    <row r="17" spans="2:8" ht="16" customHeight="1" x14ac:dyDescent="0.35">
      <c r="B17" s="11" t="s">
        <v>23</v>
      </c>
      <c r="C17" s="12" t="s">
        <v>269</v>
      </c>
      <c r="H17" s="6" t="s">
        <v>12</v>
      </c>
    </row>
    <row r="18" spans="2:8" ht="16" customHeight="1" x14ac:dyDescent="0.35">
      <c r="B18" s="11" t="s">
        <v>34</v>
      </c>
      <c r="C18" s="12" t="s">
        <v>270</v>
      </c>
      <c r="H18" s="6" t="s">
        <v>13</v>
      </c>
    </row>
    <row r="19" spans="2:8" ht="16" customHeight="1" x14ac:dyDescent="0.35">
      <c r="B19" s="11" t="s">
        <v>35</v>
      </c>
      <c r="C19" s="12" t="s">
        <v>271</v>
      </c>
    </row>
    <row r="20" spans="2:8" ht="16" customHeight="1" x14ac:dyDescent="0.35">
      <c r="B20" s="12" t="s">
        <v>489</v>
      </c>
      <c r="C20" s="12" t="s">
        <v>490</v>
      </c>
    </row>
    <row r="21" spans="2:8" ht="16" customHeight="1" x14ac:dyDescent="0.35">
      <c r="B21" s="12" t="s">
        <v>36</v>
      </c>
      <c r="C21" s="12" t="s">
        <v>272</v>
      </c>
    </row>
    <row r="22" spans="2:8" ht="16" customHeight="1" x14ac:dyDescent="0.35">
      <c r="B22" s="12" t="s">
        <v>37</v>
      </c>
      <c r="C22" s="12" t="s">
        <v>273</v>
      </c>
    </row>
    <row r="23" spans="2:8" ht="16" customHeight="1" x14ac:dyDescent="0.35">
      <c r="B23" s="12" t="s">
        <v>38</v>
      </c>
      <c r="C23" s="12" t="s">
        <v>274</v>
      </c>
    </row>
    <row r="24" spans="2:8" ht="16" customHeight="1" x14ac:dyDescent="0.35"/>
    <row r="25" spans="2:8" ht="35.5" customHeight="1" thickBot="1" x14ac:dyDescent="0.4">
      <c r="B25" s="13" t="s">
        <v>307</v>
      </c>
      <c r="C25" s="13"/>
    </row>
    <row r="26" spans="2:8" ht="16" customHeight="1" thickBot="1" x14ac:dyDescent="0.4">
      <c r="B26" s="3" t="s">
        <v>316</v>
      </c>
      <c r="C26" s="3" t="s">
        <v>264</v>
      </c>
    </row>
    <row r="27" spans="2:8" ht="16" customHeight="1" x14ac:dyDescent="0.35">
      <c r="B27" s="6" t="s">
        <v>0</v>
      </c>
      <c r="C27" s="8" t="s">
        <v>276</v>
      </c>
    </row>
    <row r="28" spans="2:8" x14ac:dyDescent="0.35">
      <c r="B28" s="6" t="s">
        <v>371</v>
      </c>
      <c r="C28" s="8" t="s">
        <v>277</v>
      </c>
    </row>
    <row r="29" spans="2:8" x14ac:dyDescent="0.35">
      <c r="B29" s="6" t="s">
        <v>381</v>
      </c>
      <c r="C29" s="8" t="s">
        <v>382</v>
      </c>
    </row>
    <row r="30" spans="2:8" x14ac:dyDescent="0.35">
      <c r="B30" s="6" t="s">
        <v>314</v>
      </c>
      <c r="C30" s="8" t="s">
        <v>315</v>
      </c>
    </row>
    <row r="31" spans="2:8" x14ac:dyDescent="0.35">
      <c r="B31" s="6" t="s">
        <v>359</v>
      </c>
      <c r="C31" s="8" t="s">
        <v>360</v>
      </c>
    </row>
    <row r="32" spans="2:8" x14ac:dyDescent="0.35">
      <c r="B32" s="6" t="s">
        <v>1</v>
      </c>
      <c r="C32" s="8" t="s">
        <v>278</v>
      </c>
    </row>
    <row r="33" spans="2:3" x14ac:dyDescent="0.35">
      <c r="B33" s="6" t="s">
        <v>30</v>
      </c>
      <c r="C33" s="8" t="s">
        <v>279</v>
      </c>
    </row>
    <row r="34" spans="2:3" x14ac:dyDescent="0.35">
      <c r="B34" s="6" t="s">
        <v>151</v>
      </c>
      <c r="C34" s="8" t="s">
        <v>284</v>
      </c>
    </row>
    <row r="35" spans="2:3" x14ac:dyDescent="0.35">
      <c r="B35" s="6" t="s">
        <v>2</v>
      </c>
      <c r="C35" s="8" t="s">
        <v>280</v>
      </c>
    </row>
    <row r="36" spans="2:3" x14ac:dyDescent="0.35">
      <c r="B36" s="6" t="s">
        <v>3</v>
      </c>
      <c r="C36" s="8" t="s">
        <v>281</v>
      </c>
    </row>
    <row r="37" spans="2:3" x14ac:dyDescent="0.35">
      <c r="B37" s="6" t="s">
        <v>4</v>
      </c>
      <c r="C37" s="8" t="s">
        <v>282</v>
      </c>
    </row>
    <row r="38" spans="2:3" x14ac:dyDescent="0.35">
      <c r="B38" s="6" t="s">
        <v>5</v>
      </c>
      <c r="C38" s="8" t="s">
        <v>283</v>
      </c>
    </row>
    <row r="40" spans="2:3" ht="32" customHeight="1" thickBot="1" x14ac:dyDescent="0.4">
      <c r="B40" s="13" t="s">
        <v>308</v>
      </c>
      <c r="C40" s="13"/>
    </row>
    <row r="41" spans="2:3" ht="15" thickBot="1" x14ac:dyDescent="0.4">
      <c r="B41" s="3" t="s">
        <v>317</v>
      </c>
      <c r="C41" s="3" t="s">
        <v>264</v>
      </c>
    </row>
    <row r="42" spans="2:3" x14ac:dyDescent="0.35">
      <c r="B42" s="6" t="s">
        <v>0</v>
      </c>
      <c r="C42" s="8" t="s">
        <v>285</v>
      </c>
    </row>
    <row r="43" spans="2:3" x14ac:dyDescent="0.35">
      <c r="B43" s="6" t="s">
        <v>14</v>
      </c>
      <c r="C43" s="8" t="s">
        <v>286</v>
      </c>
    </row>
    <row r="44" spans="2:3" x14ac:dyDescent="0.35">
      <c r="B44" s="6" t="s">
        <v>1</v>
      </c>
      <c r="C44" s="8" t="s">
        <v>287</v>
      </c>
    </row>
    <row r="45" spans="2:3" x14ac:dyDescent="0.35">
      <c r="B45" s="6" t="s">
        <v>151</v>
      </c>
      <c r="C45" s="8" t="s">
        <v>288</v>
      </c>
    </row>
    <row r="46" spans="2:3" x14ac:dyDescent="0.35">
      <c r="B46" s="6" t="s">
        <v>32</v>
      </c>
      <c r="C46" s="8" t="s">
        <v>289</v>
      </c>
    </row>
    <row r="47" spans="2:3" x14ac:dyDescent="0.35">
      <c r="B47" s="6" t="s">
        <v>18</v>
      </c>
      <c r="C47" s="8" t="s">
        <v>290</v>
      </c>
    </row>
    <row r="48" spans="2:3" x14ac:dyDescent="0.35">
      <c r="B48" s="6" t="s">
        <v>31</v>
      </c>
      <c r="C48" s="8" t="s">
        <v>291</v>
      </c>
    </row>
    <row r="49" spans="2:3" x14ac:dyDescent="0.35">
      <c r="B49" s="6" t="s">
        <v>19</v>
      </c>
      <c r="C49" s="8" t="s">
        <v>292</v>
      </c>
    </row>
    <row r="50" spans="2:3" x14ac:dyDescent="0.35">
      <c r="B50" s="6" t="s">
        <v>33</v>
      </c>
      <c r="C50" s="8" t="s">
        <v>293</v>
      </c>
    </row>
    <row r="51" spans="2:3" x14ac:dyDescent="0.35">
      <c r="B51" s="6" t="s">
        <v>21</v>
      </c>
      <c r="C51" s="6" t="s">
        <v>294</v>
      </c>
    </row>
    <row r="52" spans="2:3" x14ac:dyDescent="0.35">
      <c r="B52" s="6" t="s">
        <v>22</v>
      </c>
      <c r="C52" s="6" t="s">
        <v>295</v>
      </c>
    </row>
    <row r="54" spans="2:3" ht="37.5" customHeight="1" thickBot="1" x14ac:dyDescent="0.4">
      <c r="B54" s="13" t="s">
        <v>309</v>
      </c>
      <c r="C54" s="13"/>
    </row>
    <row r="55" spans="2:3" ht="15" thickBot="1" x14ac:dyDescent="0.4">
      <c r="B55" s="3" t="s">
        <v>318</v>
      </c>
      <c r="C55" s="3" t="s">
        <v>264</v>
      </c>
    </row>
    <row r="56" spans="2:3" x14ac:dyDescent="0.35">
      <c r="B56" s="8" t="s">
        <v>26</v>
      </c>
      <c r="C56" s="8" t="s">
        <v>296</v>
      </c>
    </row>
    <row r="57" spans="2:3" x14ac:dyDescent="0.35">
      <c r="B57" s="8" t="s">
        <v>20</v>
      </c>
      <c r="C57" s="8" t="s">
        <v>297</v>
      </c>
    </row>
    <row r="58" spans="2:3" x14ac:dyDescent="0.35">
      <c r="B58" s="8" t="s">
        <v>1</v>
      </c>
      <c r="C58" s="8" t="s">
        <v>547</v>
      </c>
    </row>
    <row r="59" spans="2:3" x14ac:dyDescent="0.35">
      <c r="B59" s="8" t="s">
        <v>171</v>
      </c>
      <c r="C59" s="8" t="s">
        <v>298</v>
      </c>
    </row>
    <row r="60" spans="2:3" x14ac:dyDescent="0.35">
      <c r="B60" s="8" t="s">
        <v>27</v>
      </c>
      <c r="C60" s="8" t="s">
        <v>299</v>
      </c>
    </row>
    <row r="62" spans="2:3" ht="28.5" customHeight="1" thickBot="1" x14ac:dyDescent="0.4">
      <c r="B62" s="13" t="s">
        <v>310</v>
      </c>
      <c r="C62" s="13"/>
    </row>
    <row r="63" spans="2:3" ht="15" thickBot="1" x14ac:dyDescent="0.4">
      <c r="B63" s="3" t="s">
        <v>319</v>
      </c>
      <c r="C63" s="3" t="s">
        <v>264</v>
      </c>
    </row>
    <row r="64" spans="2:3" x14ac:dyDescent="0.35">
      <c r="B64" s="6" t="s">
        <v>1</v>
      </c>
      <c r="C64" s="8" t="s">
        <v>301</v>
      </c>
    </row>
    <row r="65" spans="2:3" x14ac:dyDescent="0.35">
      <c r="B65" s="6" t="s">
        <v>28</v>
      </c>
      <c r="C65" s="8" t="s">
        <v>302</v>
      </c>
    </row>
    <row r="66" spans="2:3" x14ac:dyDescent="0.35">
      <c r="B66" s="6" t="s">
        <v>29</v>
      </c>
      <c r="C66" s="8" t="s">
        <v>303</v>
      </c>
    </row>
    <row r="67" spans="2:3" x14ac:dyDescent="0.35">
      <c r="B67" s="6" t="s">
        <v>263</v>
      </c>
      <c r="C67" s="8" t="s">
        <v>304</v>
      </c>
    </row>
    <row r="69" spans="2:3" ht="15" thickBot="1" x14ac:dyDescent="0.4">
      <c r="B69" s="13" t="s">
        <v>548</v>
      </c>
      <c r="C69" s="13"/>
    </row>
    <row r="70" spans="2:3" ht="15" thickBot="1" x14ac:dyDescent="0.4">
      <c r="B70" s="3" t="s">
        <v>549</v>
      </c>
      <c r="C70" s="3" t="s">
        <v>264</v>
      </c>
    </row>
    <row r="71" spans="2:3" x14ac:dyDescent="0.35">
      <c r="B71" s="8" t="s">
        <v>366</v>
      </c>
      <c r="C71" s="8" t="s">
        <v>550</v>
      </c>
    </row>
    <row r="72" spans="2:3" x14ac:dyDescent="0.35">
      <c r="B72" s="8" t="s">
        <v>367</v>
      </c>
      <c r="C72" s="8" t="s">
        <v>551</v>
      </c>
    </row>
    <row r="73" spans="2:3" x14ac:dyDescent="0.35">
      <c r="B73" s="8" t="s">
        <v>368</v>
      </c>
      <c r="C73" s="8" t="s">
        <v>552</v>
      </c>
    </row>
    <row r="74" spans="2:3" x14ac:dyDescent="0.35">
      <c r="B74" s="8" t="s">
        <v>0</v>
      </c>
      <c r="C74" s="8" t="s">
        <v>553</v>
      </c>
    </row>
    <row r="75" spans="2:3" x14ac:dyDescent="0.35">
      <c r="B75" s="8" t="s">
        <v>372</v>
      </c>
      <c r="C75" s="8" t="s">
        <v>554</v>
      </c>
    </row>
    <row r="76" spans="2:3" x14ac:dyDescent="0.35">
      <c r="B76" s="8" t="s">
        <v>400</v>
      </c>
      <c r="C76" s="8" t="s">
        <v>555</v>
      </c>
    </row>
    <row r="77" spans="2:3" x14ac:dyDescent="0.35">
      <c r="B77" s="8" t="s">
        <v>408</v>
      </c>
      <c r="C77" s="8" t="s">
        <v>556</v>
      </c>
    </row>
    <row r="78" spans="2:3" x14ac:dyDescent="0.35">
      <c r="B78" s="8" t="s">
        <v>369</v>
      </c>
      <c r="C78" s="8" t="s">
        <v>557</v>
      </c>
    </row>
    <row r="79" spans="2:3" x14ac:dyDescent="0.35">
      <c r="B79" s="8" t="s">
        <v>370</v>
      </c>
      <c r="C79" s="8" t="s">
        <v>558</v>
      </c>
    </row>
  </sheetData>
  <mergeCells count="7">
    <mergeCell ref="B62:C62"/>
    <mergeCell ref="B69:C69"/>
    <mergeCell ref="B2:C2"/>
    <mergeCell ref="B10:C10"/>
    <mergeCell ref="B25:C25"/>
    <mergeCell ref="B40:C40"/>
    <mergeCell ref="B54:C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6EC9-BE9C-4FFD-8103-2FF76843AC89}">
  <dimension ref="A1:N56"/>
  <sheetViews>
    <sheetView workbookViewId="0">
      <pane xSplit="3" topLeftCell="D1" activePane="topRight" state="frozen"/>
      <selection pane="topRight" activeCell="E3" sqref="E3"/>
    </sheetView>
    <sheetView tabSelected="1" topLeftCell="A35" workbookViewId="1"/>
  </sheetViews>
  <sheetFormatPr defaultRowHeight="14.5" x14ac:dyDescent="0.35"/>
  <cols>
    <col min="1" max="1" width="30.81640625" bestFit="1" customWidth="1"/>
    <col min="2" max="2" width="9.54296875" customWidth="1"/>
    <col min="3" max="3" width="38.1796875" bestFit="1" customWidth="1"/>
    <col min="4" max="4" width="22.26953125" customWidth="1"/>
    <col min="5" max="5" width="9" bestFit="1" customWidth="1"/>
    <col min="6" max="6" width="16.36328125" bestFit="1" customWidth="1"/>
    <col min="7" max="8" width="16.36328125" customWidth="1"/>
    <col min="9" max="9" width="15.81640625" bestFit="1" customWidth="1"/>
    <col min="10" max="10" width="17.1796875" bestFit="1" customWidth="1"/>
    <col min="11" max="11" width="21.36328125" bestFit="1" customWidth="1"/>
    <col min="12" max="12" width="14.26953125" bestFit="1" customWidth="1"/>
    <col min="13" max="13" width="13.6328125" bestFit="1" customWidth="1"/>
    <col min="14" max="14" width="13.453125" bestFit="1" customWidth="1"/>
  </cols>
  <sheetData>
    <row r="1" spans="1:14" s="7" customFormat="1" ht="27" x14ac:dyDescent="0.35">
      <c r="A1" s="9" t="s">
        <v>1</v>
      </c>
      <c r="B1" s="9" t="s">
        <v>14</v>
      </c>
      <c r="C1" s="9" t="s">
        <v>15</v>
      </c>
      <c r="D1" s="9" t="s">
        <v>16</v>
      </c>
      <c r="E1" s="9" t="s">
        <v>154</v>
      </c>
      <c r="F1" s="9" t="s">
        <v>23</v>
      </c>
      <c r="G1" s="9" t="s">
        <v>24</v>
      </c>
      <c r="H1" s="9" t="s">
        <v>25</v>
      </c>
      <c r="I1" s="9" t="s">
        <v>34</v>
      </c>
      <c r="J1" s="9" t="s">
        <v>35</v>
      </c>
      <c r="K1" s="9" t="s">
        <v>489</v>
      </c>
      <c r="L1" s="9" t="s">
        <v>36</v>
      </c>
      <c r="M1" s="9" t="s">
        <v>37</v>
      </c>
      <c r="N1" s="9" t="s">
        <v>38</v>
      </c>
    </row>
    <row r="2" spans="1:14" ht="54" x14ac:dyDescent="0.35">
      <c r="A2" s="8" t="s">
        <v>39</v>
      </c>
      <c r="B2" s="8" t="s">
        <v>96</v>
      </c>
      <c r="C2" s="8" t="s">
        <v>40</v>
      </c>
      <c r="D2" s="8" t="s">
        <v>492</v>
      </c>
      <c r="E2" s="8" t="s">
        <v>152</v>
      </c>
      <c r="F2" s="8">
        <v>4</v>
      </c>
      <c r="G2" s="8">
        <f>0.8*F2</f>
        <v>3.2</v>
      </c>
      <c r="H2" s="8">
        <f>1*F2</f>
        <v>4</v>
      </c>
      <c r="I2" s="8" t="s">
        <v>172</v>
      </c>
      <c r="J2" s="8" t="s">
        <v>173</v>
      </c>
      <c r="K2" s="8" t="s">
        <v>153</v>
      </c>
      <c r="L2" s="8" t="s">
        <v>157</v>
      </c>
      <c r="M2" s="8" t="s">
        <v>173</v>
      </c>
      <c r="N2" s="8" t="s">
        <v>174</v>
      </c>
    </row>
    <row r="3" spans="1:14" ht="54" x14ac:dyDescent="0.35">
      <c r="A3" s="8" t="s">
        <v>39</v>
      </c>
      <c r="B3" s="8" t="s">
        <v>98</v>
      </c>
      <c r="C3" s="8" t="s">
        <v>41</v>
      </c>
      <c r="D3" s="8" t="s">
        <v>493</v>
      </c>
      <c r="E3" s="8" t="s">
        <v>152</v>
      </c>
      <c r="F3" s="8">
        <v>4</v>
      </c>
      <c r="G3" s="8">
        <f t="shared" ref="G3:G56" si="0">0.8*F3</f>
        <v>3.2</v>
      </c>
      <c r="H3" s="8">
        <f t="shared" ref="H3:H56" si="1">1*F3</f>
        <v>4</v>
      </c>
      <c r="I3" s="8" t="s">
        <v>172</v>
      </c>
      <c r="J3" s="8" t="s">
        <v>173</v>
      </c>
      <c r="K3" s="8" t="s">
        <v>153</v>
      </c>
      <c r="L3" s="8" t="s">
        <v>96</v>
      </c>
      <c r="M3" s="8" t="s">
        <v>173</v>
      </c>
      <c r="N3" s="8" t="s">
        <v>174</v>
      </c>
    </row>
    <row r="4" spans="1:14" ht="67.5" x14ac:dyDescent="0.35">
      <c r="A4" s="8" t="s">
        <v>39</v>
      </c>
      <c r="B4" s="8" t="s">
        <v>99</v>
      </c>
      <c r="C4" s="8" t="s">
        <v>42</v>
      </c>
      <c r="D4" s="8" t="s">
        <v>494</v>
      </c>
      <c r="E4" s="8" t="s">
        <v>152</v>
      </c>
      <c r="F4" s="8">
        <v>8</v>
      </c>
      <c r="G4" s="8">
        <f t="shared" si="0"/>
        <v>6.4</v>
      </c>
      <c r="H4" s="8">
        <f t="shared" si="1"/>
        <v>8</v>
      </c>
      <c r="I4" s="8" t="s">
        <v>175</v>
      </c>
      <c r="J4" s="8" t="s">
        <v>173</v>
      </c>
      <c r="K4" s="8" t="s">
        <v>153</v>
      </c>
      <c r="L4" s="8" t="s">
        <v>98</v>
      </c>
      <c r="M4" s="8" t="s">
        <v>173</v>
      </c>
      <c r="N4" s="8" t="s">
        <v>174</v>
      </c>
    </row>
    <row r="5" spans="1:14" ht="67.5" x14ac:dyDescent="0.35">
      <c r="A5" s="8" t="s">
        <v>39</v>
      </c>
      <c r="B5" s="8" t="s">
        <v>100</v>
      </c>
      <c r="C5" s="8" t="s">
        <v>43</v>
      </c>
      <c r="D5" s="8" t="s">
        <v>495</v>
      </c>
      <c r="E5" s="8" t="s">
        <v>152</v>
      </c>
      <c r="F5" s="8">
        <v>12</v>
      </c>
      <c r="G5" s="8">
        <f t="shared" si="0"/>
        <v>9.6000000000000014</v>
      </c>
      <c r="H5" s="8">
        <f t="shared" si="1"/>
        <v>12</v>
      </c>
      <c r="I5" s="8" t="s">
        <v>175</v>
      </c>
      <c r="J5" s="8" t="s">
        <v>173</v>
      </c>
      <c r="K5" s="8" t="s">
        <v>153</v>
      </c>
      <c r="L5" s="8" t="s">
        <v>99</v>
      </c>
      <c r="M5" s="8" t="s">
        <v>173</v>
      </c>
      <c r="N5" s="8" t="s">
        <v>174</v>
      </c>
    </row>
    <row r="6" spans="1:14" ht="67.5" x14ac:dyDescent="0.35">
      <c r="A6" s="8" t="s">
        <v>39</v>
      </c>
      <c r="B6" s="8" t="s">
        <v>101</v>
      </c>
      <c r="C6" s="8" t="s">
        <v>44</v>
      </c>
      <c r="D6" s="8" t="s">
        <v>496</v>
      </c>
      <c r="E6" s="8" t="s">
        <v>152</v>
      </c>
      <c r="F6" s="8">
        <v>24</v>
      </c>
      <c r="G6" s="8">
        <f t="shared" si="0"/>
        <v>19.200000000000003</v>
      </c>
      <c r="H6" s="8">
        <f t="shared" si="1"/>
        <v>24</v>
      </c>
      <c r="I6" s="8" t="s">
        <v>176</v>
      </c>
      <c r="J6" s="8" t="s">
        <v>174</v>
      </c>
      <c r="K6" s="8" t="s">
        <v>491</v>
      </c>
      <c r="L6" s="8" t="s">
        <v>100</v>
      </c>
      <c r="M6" s="8" t="s">
        <v>173</v>
      </c>
      <c r="N6" s="8" t="s">
        <v>174</v>
      </c>
    </row>
    <row r="7" spans="1:14" ht="67.5" x14ac:dyDescent="0.35">
      <c r="A7" s="8" t="s">
        <v>39</v>
      </c>
      <c r="B7" s="8" t="s">
        <v>102</v>
      </c>
      <c r="C7" s="8" t="s">
        <v>45</v>
      </c>
      <c r="D7" s="8" t="s">
        <v>497</v>
      </c>
      <c r="E7" s="8" t="s">
        <v>152</v>
      </c>
      <c r="F7" s="8">
        <v>8</v>
      </c>
      <c r="G7" s="8">
        <f t="shared" si="0"/>
        <v>6.4</v>
      </c>
      <c r="H7" s="8">
        <f t="shared" si="1"/>
        <v>8</v>
      </c>
      <c r="I7" s="8" t="s">
        <v>161</v>
      </c>
      <c r="J7" s="8" t="s">
        <v>173</v>
      </c>
      <c r="K7" s="8" t="s">
        <v>491</v>
      </c>
      <c r="L7" s="8" t="s">
        <v>101</v>
      </c>
      <c r="M7" s="8" t="s">
        <v>174</v>
      </c>
      <c r="N7" s="8" t="s">
        <v>174</v>
      </c>
    </row>
    <row r="8" spans="1:14" ht="67.5" x14ac:dyDescent="0.35">
      <c r="A8" s="8" t="s">
        <v>39</v>
      </c>
      <c r="B8" s="8" t="s">
        <v>103</v>
      </c>
      <c r="C8" s="8" t="s">
        <v>46</v>
      </c>
      <c r="D8" s="8" t="s">
        <v>498</v>
      </c>
      <c r="E8" s="8" t="s">
        <v>152</v>
      </c>
      <c r="F8" s="8">
        <v>24</v>
      </c>
      <c r="G8" s="8">
        <f t="shared" si="0"/>
        <v>19.200000000000003</v>
      </c>
      <c r="H8" s="8">
        <f t="shared" si="1"/>
        <v>24</v>
      </c>
      <c r="I8" s="8" t="s">
        <v>161</v>
      </c>
      <c r="J8" s="8" t="s">
        <v>174</v>
      </c>
      <c r="K8" s="8" t="s">
        <v>491</v>
      </c>
      <c r="L8" s="8" t="s">
        <v>102</v>
      </c>
      <c r="M8" s="8" t="s">
        <v>174</v>
      </c>
      <c r="N8" s="8" t="s">
        <v>174</v>
      </c>
    </row>
    <row r="9" spans="1:14" ht="40.5" x14ac:dyDescent="0.35">
      <c r="A9" s="8" t="s">
        <v>47</v>
      </c>
      <c r="B9" s="8" t="s">
        <v>104</v>
      </c>
      <c r="C9" s="8" t="s">
        <v>48</v>
      </c>
      <c r="D9" s="8" t="s">
        <v>499</v>
      </c>
      <c r="E9" s="8" t="s">
        <v>152</v>
      </c>
      <c r="F9" s="8">
        <v>4</v>
      </c>
      <c r="G9" s="8">
        <f t="shared" si="0"/>
        <v>3.2</v>
      </c>
      <c r="H9" s="8">
        <f t="shared" si="1"/>
        <v>4</v>
      </c>
      <c r="I9" s="8" t="s">
        <v>172</v>
      </c>
      <c r="J9" s="8" t="s">
        <v>173</v>
      </c>
      <c r="K9" s="8" t="s">
        <v>491</v>
      </c>
      <c r="L9" s="8" t="s">
        <v>103</v>
      </c>
      <c r="M9" s="8" t="s">
        <v>173</v>
      </c>
      <c r="N9" s="8" t="s">
        <v>174</v>
      </c>
    </row>
    <row r="10" spans="1:14" ht="54" x14ac:dyDescent="0.35">
      <c r="A10" s="8" t="s">
        <v>47</v>
      </c>
      <c r="B10" s="8" t="s">
        <v>105</v>
      </c>
      <c r="C10" s="8" t="s">
        <v>49</v>
      </c>
      <c r="D10" s="8" t="s">
        <v>500</v>
      </c>
      <c r="E10" s="8" t="s">
        <v>152</v>
      </c>
      <c r="F10" s="8">
        <v>4</v>
      </c>
      <c r="G10" s="8">
        <f t="shared" si="0"/>
        <v>3.2</v>
      </c>
      <c r="H10" s="8">
        <f t="shared" si="1"/>
        <v>4</v>
      </c>
      <c r="I10" s="8" t="s">
        <v>172</v>
      </c>
      <c r="J10" s="8" t="s">
        <v>173</v>
      </c>
      <c r="K10" s="8" t="s">
        <v>491</v>
      </c>
      <c r="L10" s="8" t="s">
        <v>104</v>
      </c>
      <c r="M10" s="8" t="s">
        <v>173</v>
      </c>
      <c r="N10" s="8" t="s">
        <v>174</v>
      </c>
    </row>
    <row r="11" spans="1:14" ht="54" x14ac:dyDescent="0.35">
      <c r="A11" s="8" t="s">
        <v>47</v>
      </c>
      <c r="B11" s="8" t="s">
        <v>106</v>
      </c>
      <c r="C11" s="8" t="s">
        <v>50</v>
      </c>
      <c r="D11" s="8" t="s">
        <v>501</v>
      </c>
      <c r="E11" s="8" t="s">
        <v>152</v>
      </c>
      <c r="F11" s="8">
        <v>12</v>
      </c>
      <c r="G11" s="8">
        <f t="shared" si="0"/>
        <v>9.6000000000000014</v>
      </c>
      <c r="H11" s="8">
        <f t="shared" si="1"/>
        <v>12</v>
      </c>
      <c r="I11" s="8" t="s">
        <v>177</v>
      </c>
      <c r="J11" s="8" t="s">
        <v>174</v>
      </c>
      <c r="K11" s="8" t="s">
        <v>491</v>
      </c>
      <c r="L11" s="8" t="s">
        <v>105</v>
      </c>
      <c r="M11" s="8" t="s">
        <v>173</v>
      </c>
      <c r="N11" s="8" t="s">
        <v>174</v>
      </c>
    </row>
    <row r="12" spans="1:14" ht="40.5" x14ac:dyDescent="0.35">
      <c r="A12" s="8" t="s">
        <v>47</v>
      </c>
      <c r="B12" s="8" t="s">
        <v>107</v>
      </c>
      <c r="C12" s="8" t="s">
        <v>51</v>
      </c>
      <c r="D12" s="8" t="s">
        <v>502</v>
      </c>
      <c r="E12" s="8" t="s">
        <v>152</v>
      </c>
      <c r="F12" s="8">
        <v>4</v>
      </c>
      <c r="G12" s="8">
        <f t="shared" si="0"/>
        <v>3.2</v>
      </c>
      <c r="H12" s="8">
        <f t="shared" si="1"/>
        <v>4</v>
      </c>
      <c r="I12" s="8" t="s">
        <v>172</v>
      </c>
      <c r="J12" s="8" t="s">
        <v>173</v>
      </c>
      <c r="K12" s="8" t="s">
        <v>491</v>
      </c>
      <c r="L12" s="8" t="s">
        <v>106</v>
      </c>
      <c r="M12" s="8" t="s">
        <v>173</v>
      </c>
      <c r="N12" s="8" t="s">
        <v>174</v>
      </c>
    </row>
    <row r="13" spans="1:14" ht="54" x14ac:dyDescent="0.35">
      <c r="A13" s="8" t="s">
        <v>47</v>
      </c>
      <c r="B13" s="8" t="s">
        <v>108</v>
      </c>
      <c r="C13" s="8" t="s">
        <v>52</v>
      </c>
      <c r="D13" s="8" t="s">
        <v>503</v>
      </c>
      <c r="E13" s="8" t="s">
        <v>152</v>
      </c>
      <c r="F13" s="8">
        <v>4</v>
      </c>
      <c r="G13" s="8">
        <f t="shared" si="0"/>
        <v>3.2</v>
      </c>
      <c r="H13" s="8">
        <f t="shared" si="1"/>
        <v>4</v>
      </c>
      <c r="I13" s="8" t="s">
        <v>172</v>
      </c>
      <c r="J13" s="8" t="s">
        <v>173</v>
      </c>
      <c r="K13" s="8" t="s">
        <v>491</v>
      </c>
      <c r="L13" s="8" t="s">
        <v>107</v>
      </c>
      <c r="M13" s="8" t="s">
        <v>173</v>
      </c>
      <c r="N13" s="8" t="s">
        <v>174</v>
      </c>
    </row>
    <row r="14" spans="1:14" ht="54" x14ac:dyDescent="0.35">
      <c r="A14" s="8" t="s">
        <v>53</v>
      </c>
      <c r="B14" s="8" t="s">
        <v>97</v>
      </c>
      <c r="C14" s="8" t="s">
        <v>54</v>
      </c>
      <c r="D14" s="8" t="s">
        <v>504</v>
      </c>
      <c r="E14" s="8" t="s">
        <v>152</v>
      </c>
      <c r="F14" s="8">
        <v>8</v>
      </c>
      <c r="G14" s="8">
        <f t="shared" si="0"/>
        <v>6.4</v>
      </c>
      <c r="H14" s="8">
        <f t="shared" si="1"/>
        <v>8</v>
      </c>
      <c r="I14" s="8" t="s">
        <v>175</v>
      </c>
      <c r="J14" s="8" t="s">
        <v>173</v>
      </c>
      <c r="K14" s="8" t="s">
        <v>153</v>
      </c>
      <c r="L14" s="8" t="s">
        <v>108</v>
      </c>
      <c r="M14" s="8" t="s">
        <v>173</v>
      </c>
      <c r="N14" s="8" t="s">
        <v>174</v>
      </c>
    </row>
    <row r="15" spans="1:14" ht="54" x14ac:dyDescent="0.35">
      <c r="A15" s="8" t="s">
        <v>53</v>
      </c>
      <c r="B15" s="8" t="s">
        <v>109</v>
      </c>
      <c r="C15" s="8" t="s">
        <v>55</v>
      </c>
      <c r="D15" s="8" t="s">
        <v>505</v>
      </c>
      <c r="E15" s="8" t="s">
        <v>153</v>
      </c>
      <c r="F15" s="8">
        <v>12</v>
      </c>
      <c r="G15" s="8">
        <f t="shared" si="0"/>
        <v>9.6000000000000014</v>
      </c>
      <c r="H15" s="8">
        <f t="shared" si="1"/>
        <v>12</v>
      </c>
      <c r="I15" s="8" t="s">
        <v>177</v>
      </c>
      <c r="J15" s="8" t="s">
        <v>174</v>
      </c>
      <c r="K15" s="8" t="s">
        <v>491</v>
      </c>
      <c r="L15" s="8" t="s">
        <v>97</v>
      </c>
      <c r="M15" s="8" t="s">
        <v>173</v>
      </c>
      <c r="N15" s="8" t="s">
        <v>174</v>
      </c>
    </row>
    <row r="16" spans="1:14" ht="54" x14ac:dyDescent="0.35">
      <c r="A16" s="8" t="s">
        <v>53</v>
      </c>
      <c r="B16" s="8" t="s">
        <v>110</v>
      </c>
      <c r="C16" s="8" t="s">
        <v>56</v>
      </c>
      <c r="D16" s="8" t="s">
        <v>506</v>
      </c>
      <c r="E16" s="8" t="s">
        <v>153</v>
      </c>
      <c r="F16" s="8">
        <v>12</v>
      </c>
      <c r="G16" s="8">
        <f t="shared" si="0"/>
        <v>9.6000000000000014</v>
      </c>
      <c r="H16" s="8">
        <f t="shared" si="1"/>
        <v>12</v>
      </c>
      <c r="I16" s="8" t="s">
        <v>172</v>
      </c>
      <c r="J16" s="8" t="s">
        <v>174</v>
      </c>
      <c r="K16" s="8" t="s">
        <v>491</v>
      </c>
      <c r="L16" s="8" t="s">
        <v>109</v>
      </c>
      <c r="M16" s="8" t="s">
        <v>173</v>
      </c>
      <c r="N16" s="8" t="s">
        <v>174</v>
      </c>
    </row>
    <row r="17" spans="1:14" ht="54" x14ac:dyDescent="0.35">
      <c r="A17" s="8" t="s">
        <v>53</v>
      </c>
      <c r="B17" s="8" t="s">
        <v>111</v>
      </c>
      <c r="C17" s="8" t="s">
        <v>57</v>
      </c>
      <c r="D17" s="8" t="s">
        <v>507</v>
      </c>
      <c r="E17" s="8" t="s">
        <v>153</v>
      </c>
      <c r="F17" s="8">
        <v>24</v>
      </c>
      <c r="G17" s="8">
        <f t="shared" si="0"/>
        <v>19.200000000000003</v>
      </c>
      <c r="H17" s="8">
        <f t="shared" si="1"/>
        <v>24</v>
      </c>
      <c r="I17" s="8" t="s">
        <v>178</v>
      </c>
      <c r="J17" s="8" t="s">
        <v>174</v>
      </c>
      <c r="K17" s="8" t="s">
        <v>491</v>
      </c>
      <c r="L17" s="8" t="s">
        <v>110</v>
      </c>
      <c r="M17" s="8" t="s">
        <v>173</v>
      </c>
      <c r="N17" s="8" t="s">
        <v>174</v>
      </c>
    </row>
    <row r="18" spans="1:14" ht="54" x14ac:dyDescent="0.35">
      <c r="A18" s="8" t="s">
        <v>53</v>
      </c>
      <c r="B18" s="8" t="s">
        <v>112</v>
      </c>
      <c r="C18" s="8" t="s">
        <v>58</v>
      </c>
      <c r="D18" s="8" t="s">
        <v>508</v>
      </c>
      <c r="E18" s="8" t="s">
        <v>153</v>
      </c>
      <c r="F18" s="8">
        <v>12</v>
      </c>
      <c r="G18" s="8">
        <f t="shared" si="0"/>
        <v>9.6000000000000014</v>
      </c>
      <c r="H18" s="8">
        <f t="shared" si="1"/>
        <v>12</v>
      </c>
      <c r="I18" s="8" t="s">
        <v>177</v>
      </c>
      <c r="J18" s="8" t="s">
        <v>174</v>
      </c>
      <c r="K18" s="8" t="s">
        <v>153</v>
      </c>
      <c r="L18" s="8" t="s">
        <v>111</v>
      </c>
      <c r="M18" s="8" t="s">
        <v>173</v>
      </c>
      <c r="N18" s="8" t="s">
        <v>174</v>
      </c>
    </row>
    <row r="19" spans="1:14" ht="54" x14ac:dyDescent="0.35">
      <c r="A19" s="8" t="s">
        <v>53</v>
      </c>
      <c r="B19" s="8" t="s">
        <v>113</v>
      </c>
      <c r="C19" s="8" t="s">
        <v>59</v>
      </c>
      <c r="D19" s="8" t="s">
        <v>509</v>
      </c>
      <c r="E19" s="8" t="s">
        <v>152</v>
      </c>
      <c r="F19" s="8">
        <v>8</v>
      </c>
      <c r="G19" s="8">
        <f t="shared" si="0"/>
        <v>6.4</v>
      </c>
      <c r="H19" s="8">
        <f t="shared" si="1"/>
        <v>8</v>
      </c>
      <c r="I19" s="8" t="s">
        <v>177</v>
      </c>
      <c r="J19" s="8" t="s">
        <v>173</v>
      </c>
      <c r="K19" s="8" t="s">
        <v>153</v>
      </c>
      <c r="L19" s="8" t="s">
        <v>112</v>
      </c>
      <c r="M19" s="8" t="s">
        <v>173</v>
      </c>
      <c r="N19" s="8" t="s">
        <v>174</v>
      </c>
    </row>
    <row r="20" spans="1:14" ht="54" x14ac:dyDescent="0.35">
      <c r="A20" s="8" t="s">
        <v>95</v>
      </c>
      <c r="B20" s="8" t="s">
        <v>114</v>
      </c>
      <c r="C20" s="8" t="s">
        <v>60</v>
      </c>
      <c r="D20" s="8" t="s">
        <v>510</v>
      </c>
      <c r="E20" s="8" t="s">
        <v>153</v>
      </c>
      <c r="F20" s="8">
        <v>12</v>
      </c>
      <c r="G20" s="8">
        <f t="shared" si="0"/>
        <v>9.6000000000000014</v>
      </c>
      <c r="H20" s="8">
        <f t="shared" si="1"/>
        <v>12</v>
      </c>
      <c r="I20" s="8" t="s">
        <v>177</v>
      </c>
      <c r="J20" s="8" t="s">
        <v>174</v>
      </c>
      <c r="K20" s="8" t="s">
        <v>491</v>
      </c>
      <c r="L20" s="8" t="s">
        <v>113</v>
      </c>
      <c r="M20" s="8" t="s">
        <v>173</v>
      </c>
      <c r="N20" s="8" t="s">
        <v>174</v>
      </c>
    </row>
    <row r="21" spans="1:14" ht="54" x14ac:dyDescent="0.35">
      <c r="A21" s="8" t="s">
        <v>95</v>
      </c>
      <c r="B21" s="8" t="s">
        <v>115</v>
      </c>
      <c r="C21" s="8" t="s">
        <v>61</v>
      </c>
      <c r="D21" s="8" t="s">
        <v>511</v>
      </c>
      <c r="E21" s="8" t="s">
        <v>152</v>
      </c>
      <c r="F21" s="8">
        <v>24</v>
      </c>
      <c r="G21" s="8">
        <f t="shared" si="0"/>
        <v>19.200000000000003</v>
      </c>
      <c r="H21" s="8">
        <f t="shared" si="1"/>
        <v>24</v>
      </c>
      <c r="I21" s="8" t="s">
        <v>179</v>
      </c>
      <c r="J21" s="8" t="s">
        <v>174</v>
      </c>
      <c r="K21" s="8" t="s">
        <v>491</v>
      </c>
      <c r="L21" s="8" t="s">
        <v>114</v>
      </c>
      <c r="M21" s="8" t="s">
        <v>173</v>
      </c>
      <c r="N21" s="8" t="s">
        <v>174</v>
      </c>
    </row>
    <row r="22" spans="1:14" ht="40.5" x14ac:dyDescent="0.35">
      <c r="A22" s="8" t="s">
        <v>95</v>
      </c>
      <c r="B22" s="8" t="s">
        <v>116</v>
      </c>
      <c r="C22" s="8" t="s">
        <v>62</v>
      </c>
      <c r="D22" s="8" t="s">
        <v>512</v>
      </c>
      <c r="E22" s="8" t="s">
        <v>152</v>
      </c>
      <c r="F22" s="8">
        <v>12</v>
      </c>
      <c r="G22" s="8">
        <f t="shared" si="0"/>
        <v>9.6000000000000014</v>
      </c>
      <c r="H22" s="8">
        <f t="shared" si="1"/>
        <v>12</v>
      </c>
      <c r="I22" s="8" t="s">
        <v>188</v>
      </c>
      <c r="J22" s="8" t="s">
        <v>173</v>
      </c>
      <c r="K22" s="8" t="s">
        <v>491</v>
      </c>
      <c r="L22" s="8" t="s">
        <v>115</v>
      </c>
      <c r="M22" s="8" t="s">
        <v>173</v>
      </c>
      <c r="N22" s="8" t="s">
        <v>174</v>
      </c>
    </row>
    <row r="23" spans="1:14" ht="54" x14ac:dyDescent="0.35">
      <c r="A23" s="8" t="s">
        <v>95</v>
      </c>
      <c r="B23" s="8" t="s">
        <v>117</v>
      </c>
      <c r="C23" s="8" t="s">
        <v>63</v>
      </c>
      <c r="D23" s="8" t="s">
        <v>513</v>
      </c>
      <c r="E23" s="8" t="s">
        <v>152</v>
      </c>
      <c r="F23" s="8">
        <v>12</v>
      </c>
      <c r="G23" s="8">
        <f t="shared" si="0"/>
        <v>9.6000000000000014</v>
      </c>
      <c r="H23" s="8">
        <f t="shared" si="1"/>
        <v>12</v>
      </c>
      <c r="I23" s="8" t="s">
        <v>188</v>
      </c>
      <c r="J23" s="8" t="s">
        <v>173</v>
      </c>
      <c r="K23" s="8" t="s">
        <v>491</v>
      </c>
      <c r="L23" s="8" t="s">
        <v>116</v>
      </c>
      <c r="M23" s="8" t="s">
        <v>173</v>
      </c>
      <c r="N23" s="8" t="s">
        <v>174</v>
      </c>
    </row>
    <row r="24" spans="1:14" ht="40.5" x14ac:dyDescent="0.35">
      <c r="A24" s="8" t="s">
        <v>95</v>
      </c>
      <c r="B24" s="8" t="s">
        <v>118</v>
      </c>
      <c r="C24" s="8" t="s">
        <v>64</v>
      </c>
      <c r="D24" s="8" t="s">
        <v>514</v>
      </c>
      <c r="E24" s="8" t="s">
        <v>152</v>
      </c>
      <c r="F24" s="8">
        <v>72</v>
      </c>
      <c r="G24" s="8">
        <f t="shared" si="0"/>
        <v>57.6</v>
      </c>
      <c r="H24" s="8">
        <f t="shared" si="1"/>
        <v>72</v>
      </c>
      <c r="I24" s="8" t="s">
        <v>179</v>
      </c>
      <c r="J24" s="8" t="s">
        <v>174</v>
      </c>
      <c r="K24" s="8" t="s">
        <v>153</v>
      </c>
      <c r="L24" s="8" t="s">
        <v>117</v>
      </c>
      <c r="M24" s="8" t="s">
        <v>173</v>
      </c>
      <c r="N24" s="8" t="s">
        <v>174</v>
      </c>
    </row>
    <row r="25" spans="1:14" ht="67.5" x14ac:dyDescent="0.35">
      <c r="A25" s="8" t="s">
        <v>95</v>
      </c>
      <c r="B25" s="8" t="s">
        <v>119</v>
      </c>
      <c r="C25" s="8" t="s">
        <v>65</v>
      </c>
      <c r="D25" s="8" t="s">
        <v>515</v>
      </c>
      <c r="E25" s="8" t="s">
        <v>152</v>
      </c>
      <c r="F25" s="8">
        <v>8</v>
      </c>
      <c r="G25" s="8">
        <f t="shared" si="0"/>
        <v>6.4</v>
      </c>
      <c r="H25" s="8">
        <f t="shared" si="1"/>
        <v>8</v>
      </c>
      <c r="I25" s="8" t="s">
        <v>180</v>
      </c>
      <c r="J25" s="8" t="s">
        <v>173</v>
      </c>
      <c r="K25" s="8" t="s">
        <v>153</v>
      </c>
      <c r="L25" s="8" t="s">
        <v>118</v>
      </c>
      <c r="M25" s="8" t="s">
        <v>173</v>
      </c>
      <c r="N25" s="8" t="s">
        <v>174</v>
      </c>
    </row>
    <row r="26" spans="1:14" ht="40.5" x14ac:dyDescent="0.35">
      <c r="A26" s="8" t="s">
        <v>95</v>
      </c>
      <c r="B26" s="8" t="s">
        <v>120</v>
      </c>
      <c r="C26" s="8" t="s">
        <v>66</v>
      </c>
      <c r="D26" s="8" t="s">
        <v>516</v>
      </c>
      <c r="E26" s="8" t="s">
        <v>153</v>
      </c>
      <c r="F26" s="8">
        <v>8</v>
      </c>
      <c r="G26" s="8">
        <f t="shared" si="0"/>
        <v>6.4</v>
      </c>
      <c r="H26" s="8">
        <f t="shared" si="1"/>
        <v>8</v>
      </c>
      <c r="I26" s="8" t="s">
        <v>177</v>
      </c>
      <c r="J26" s="8" t="s">
        <v>174</v>
      </c>
      <c r="K26" s="8" t="s">
        <v>153</v>
      </c>
      <c r="L26" s="8" t="s">
        <v>119</v>
      </c>
      <c r="M26" s="8" t="s">
        <v>174</v>
      </c>
      <c r="N26" s="8" t="s">
        <v>174</v>
      </c>
    </row>
    <row r="27" spans="1:14" ht="54" x14ac:dyDescent="0.35">
      <c r="A27" s="8" t="s">
        <v>67</v>
      </c>
      <c r="B27" s="8" t="s">
        <v>121</v>
      </c>
      <c r="C27" s="8" t="s">
        <v>60</v>
      </c>
      <c r="D27" s="8" t="s">
        <v>517</v>
      </c>
      <c r="E27" s="8" t="s">
        <v>152</v>
      </c>
      <c r="F27" s="8">
        <v>8</v>
      </c>
      <c r="G27" s="8">
        <f t="shared" si="0"/>
        <v>6.4</v>
      </c>
      <c r="H27" s="8">
        <f t="shared" si="1"/>
        <v>8</v>
      </c>
      <c r="I27" s="8" t="s">
        <v>177</v>
      </c>
      <c r="J27" s="8" t="s">
        <v>173</v>
      </c>
      <c r="K27" s="8" t="s">
        <v>491</v>
      </c>
      <c r="L27" s="8" t="s">
        <v>113</v>
      </c>
      <c r="M27" s="8" t="s">
        <v>173</v>
      </c>
      <c r="N27" s="8" t="s">
        <v>174</v>
      </c>
    </row>
    <row r="28" spans="1:14" ht="54" x14ac:dyDescent="0.35">
      <c r="A28" s="8" t="s">
        <v>67</v>
      </c>
      <c r="B28" s="8" t="s">
        <v>122</v>
      </c>
      <c r="C28" s="8" t="s">
        <v>68</v>
      </c>
      <c r="D28" s="8" t="s">
        <v>518</v>
      </c>
      <c r="E28" s="8" t="s">
        <v>152</v>
      </c>
      <c r="F28" s="8">
        <v>24</v>
      </c>
      <c r="G28" s="8">
        <f t="shared" si="0"/>
        <v>19.200000000000003</v>
      </c>
      <c r="H28" s="8">
        <f t="shared" si="1"/>
        <v>24</v>
      </c>
      <c r="I28" s="8" t="s">
        <v>179</v>
      </c>
      <c r="J28" s="8" t="s">
        <v>174</v>
      </c>
      <c r="K28" s="8" t="s">
        <v>153</v>
      </c>
      <c r="L28" s="8" t="s">
        <v>121</v>
      </c>
      <c r="M28" s="8" t="s">
        <v>173</v>
      </c>
      <c r="N28" s="8" t="s">
        <v>174</v>
      </c>
    </row>
    <row r="29" spans="1:14" ht="40.5" x14ac:dyDescent="0.35">
      <c r="A29" s="8" t="s">
        <v>67</v>
      </c>
      <c r="B29" s="8" t="s">
        <v>123</v>
      </c>
      <c r="C29" s="8" t="s">
        <v>69</v>
      </c>
      <c r="D29" s="8" t="s">
        <v>519</v>
      </c>
      <c r="E29" s="8" t="s">
        <v>152</v>
      </c>
      <c r="F29" s="8">
        <v>24</v>
      </c>
      <c r="G29" s="8">
        <f t="shared" si="0"/>
        <v>19.200000000000003</v>
      </c>
      <c r="H29" s="8">
        <f t="shared" si="1"/>
        <v>24</v>
      </c>
      <c r="I29" s="8" t="s">
        <v>179</v>
      </c>
      <c r="J29" s="8" t="s">
        <v>174</v>
      </c>
      <c r="K29" s="8" t="s">
        <v>153</v>
      </c>
      <c r="L29" s="8" t="s">
        <v>122</v>
      </c>
      <c r="M29" s="8" t="s">
        <v>173</v>
      </c>
      <c r="N29" s="8" t="s">
        <v>174</v>
      </c>
    </row>
    <row r="30" spans="1:14" ht="40.5" x14ac:dyDescent="0.35">
      <c r="A30" s="8" t="s">
        <v>67</v>
      </c>
      <c r="B30" s="8" t="s">
        <v>124</v>
      </c>
      <c r="C30" s="8" t="s">
        <v>70</v>
      </c>
      <c r="D30" s="8" t="s">
        <v>520</v>
      </c>
      <c r="E30" s="8" t="s">
        <v>152</v>
      </c>
      <c r="F30" s="8">
        <v>24</v>
      </c>
      <c r="G30" s="8">
        <f t="shared" si="0"/>
        <v>19.200000000000003</v>
      </c>
      <c r="H30" s="8">
        <f t="shared" si="1"/>
        <v>24</v>
      </c>
      <c r="I30" s="8" t="s">
        <v>179</v>
      </c>
      <c r="J30" s="8" t="s">
        <v>174</v>
      </c>
      <c r="K30" s="8" t="s">
        <v>153</v>
      </c>
      <c r="L30" s="8" t="s">
        <v>123</v>
      </c>
      <c r="M30" s="8" t="s">
        <v>173</v>
      </c>
      <c r="N30" s="8" t="s">
        <v>174</v>
      </c>
    </row>
    <row r="31" spans="1:14" ht="40.5" x14ac:dyDescent="0.35">
      <c r="A31" s="8" t="s">
        <v>67</v>
      </c>
      <c r="B31" s="8" t="s">
        <v>125</v>
      </c>
      <c r="C31" s="8" t="s">
        <v>71</v>
      </c>
      <c r="D31" s="8" t="s">
        <v>521</v>
      </c>
      <c r="E31" s="8" t="s">
        <v>152</v>
      </c>
      <c r="F31" s="8">
        <v>16</v>
      </c>
      <c r="G31" s="8">
        <f t="shared" si="0"/>
        <v>12.8</v>
      </c>
      <c r="H31" s="8">
        <f t="shared" si="1"/>
        <v>16</v>
      </c>
      <c r="I31" s="8" t="s">
        <v>188</v>
      </c>
      <c r="J31" s="8" t="s">
        <v>173</v>
      </c>
      <c r="K31" s="8" t="s">
        <v>153</v>
      </c>
      <c r="L31" s="8" t="s">
        <v>124</v>
      </c>
      <c r="M31" s="8" t="s">
        <v>173</v>
      </c>
      <c r="N31" s="8" t="s">
        <v>174</v>
      </c>
    </row>
    <row r="32" spans="1:14" ht="54" x14ac:dyDescent="0.35">
      <c r="A32" s="8" t="s">
        <v>67</v>
      </c>
      <c r="B32" s="8" t="s">
        <v>126</v>
      </c>
      <c r="C32" s="8" t="s">
        <v>63</v>
      </c>
      <c r="D32" s="8" t="s">
        <v>522</v>
      </c>
      <c r="E32" s="8" t="s">
        <v>152</v>
      </c>
      <c r="F32" s="8">
        <v>12</v>
      </c>
      <c r="G32" s="8">
        <f t="shared" si="0"/>
        <v>9.6000000000000014</v>
      </c>
      <c r="H32" s="8">
        <f t="shared" si="1"/>
        <v>12</v>
      </c>
      <c r="I32" s="8" t="s">
        <v>188</v>
      </c>
      <c r="J32" s="8" t="s">
        <v>173</v>
      </c>
      <c r="K32" s="8" t="s">
        <v>153</v>
      </c>
      <c r="L32" s="8" t="s">
        <v>125</v>
      </c>
      <c r="M32" s="8" t="s">
        <v>173</v>
      </c>
      <c r="N32" s="8" t="s">
        <v>174</v>
      </c>
    </row>
    <row r="33" spans="1:14" ht="40.5" x14ac:dyDescent="0.35">
      <c r="A33" s="8" t="s">
        <v>67</v>
      </c>
      <c r="B33" s="8" t="s">
        <v>127</v>
      </c>
      <c r="C33" s="8" t="s">
        <v>72</v>
      </c>
      <c r="D33" s="8" t="s">
        <v>523</v>
      </c>
      <c r="E33" s="8" t="s">
        <v>152</v>
      </c>
      <c r="F33" s="8">
        <v>72</v>
      </c>
      <c r="G33" s="8">
        <f t="shared" si="0"/>
        <v>57.6</v>
      </c>
      <c r="H33" s="8">
        <f t="shared" si="1"/>
        <v>72</v>
      </c>
      <c r="I33" s="8" t="s">
        <v>179</v>
      </c>
      <c r="J33" s="8" t="s">
        <v>174</v>
      </c>
      <c r="K33" s="8" t="s">
        <v>153</v>
      </c>
      <c r="L33" s="8" t="s">
        <v>126</v>
      </c>
      <c r="M33" s="8" t="s">
        <v>173</v>
      </c>
      <c r="N33" s="8" t="s">
        <v>174</v>
      </c>
    </row>
    <row r="34" spans="1:14" ht="27" x14ac:dyDescent="0.35">
      <c r="A34" s="8" t="s">
        <v>67</v>
      </c>
      <c r="B34" s="8" t="s">
        <v>128</v>
      </c>
      <c r="C34" s="8" t="s">
        <v>73</v>
      </c>
      <c r="D34" s="8" t="s">
        <v>524</v>
      </c>
      <c r="E34" s="8" t="s">
        <v>152</v>
      </c>
      <c r="F34" s="8">
        <v>72</v>
      </c>
      <c r="G34" s="8">
        <f t="shared" si="0"/>
        <v>57.6</v>
      </c>
      <c r="H34" s="8">
        <f t="shared" si="1"/>
        <v>72</v>
      </c>
      <c r="I34" s="8" t="s">
        <v>179</v>
      </c>
      <c r="J34" s="8" t="s">
        <v>174</v>
      </c>
      <c r="K34" s="8" t="s">
        <v>153</v>
      </c>
      <c r="L34" s="8" t="s">
        <v>127</v>
      </c>
      <c r="M34" s="8" t="s">
        <v>173</v>
      </c>
      <c r="N34" s="8" t="s">
        <v>174</v>
      </c>
    </row>
    <row r="35" spans="1:14" ht="40.5" x14ac:dyDescent="0.35">
      <c r="A35" s="8" t="s">
        <v>67</v>
      </c>
      <c r="B35" s="8" t="s">
        <v>129</v>
      </c>
      <c r="C35" s="8" t="s">
        <v>74</v>
      </c>
      <c r="D35" s="8" t="s">
        <v>525</v>
      </c>
      <c r="E35" s="8" t="s">
        <v>152</v>
      </c>
      <c r="F35" s="8">
        <v>48</v>
      </c>
      <c r="G35" s="8">
        <f t="shared" si="0"/>
        <v>38.400000000000006</v>
      </c>
      <c r="H35" s="8">
        <f t="shared" si="1"/>
        <v>48</v>
      </c>
      <c r="I35" s="8" t="s">
        <v>179</v>
      </c>
      <c r="J35" s="8" t="s">
        <v>174</v>
      </c>
      <c r="K35" s="8" t="s">
        <v>153</v>
      </c>
      <c r="L35" s="8" t="s">
        <v>128</v>
      </c>
      <c r="M35" s="8" t="s">
        <v>173</v>
      </c>
      <c r="N35" s="8" t="s">
        <v>174</v>
      </c>
    </row>
    <row r="36" spans="1:14" ht="54" x14ac:dyDescent="0.35">
      <c r="A36" s="8" t="s">
        <v>67</v>
      </c>
      <c r="B36" s="8" t="s">
        <v>130</v>
      </c>
      <c r="C36" s="8" t="s">
        <v>65</v>
      </c>
      <c r="D36" s="8" t="s">
        <v>526</v>
      </c>
      <c r="E36" s="8" t="s">
        <v>152</v>
      </c>
      <c r="F36" s="8">
        <v>8</v>
      </c>
      <c r="G36" s="8">
        <f t="shared" si="0"/>
        <v>6.4</v>
      </c>
      <c r="H36" s="8">
        <f t="shared" si="1"/>
        <v>8</v>
      </c>
      <c r="I36" s="8" t="s">
        <v>180</v>
      </c>
      <c r="J36" s="8" t="s">
        <v>173</v>
      </c>
      <c r="K36" s="8" t="s">
        <v>153</v>
      </c>
      <c r="L36" s="8" t="s">
        <v>129</v>
      </c>
      <c r="M36" s="8" t="s">
        <v>173</v>
      </c>
      <c r="N36" s="8" t="s">
        <v>174</v>
      </c>
    </row>
    <row r="37" spans="1:14" ht="40.5" x14ac:dyDescent="0.35">
      <c r="A37" s="8" t="s">
        <v>67</v>
      </c>
      <c r="B37" s="8" t="s">
        <v>131</v>
      </c>
      <c r="C37" s="8" t="s">
        <v>66</v>
      </c>
      <c r="D37" s="8" t="s">
        <v>527</v>
      </c>
      <c r="E37" s="8" t="s">
        <v>152</v>
      </c>
      <c r="F37" s="8">
        <v>8</v>
      </c>
      <c r="G37" s="8">
        <f t="shared" si="0"/>
        <v>6.4</v>
      </c>
      <c r="H37" s="8">
        <f t="shared" si="1"/>
        <v>8</v>
      </c>
      <c r="I37" s="8" t="s">
        <v>177</v>
      </c>
      <c r="J37" s="8" t="s">
        <v>173</v>
      </c>
      <c r="K37" s="8" t="s">
        <v>153</v>
      </c>
      <c r="L37" s="8" t="s">
        <v>130</v>
      </c>
      <c r="M37" s="8" t="s">
        <v>174</v>
      </c>
      <c r="N37" s="8" t="s">
        <v>174</v>
      </c>
    </row>
    <row r="38" spans="1:14" ht="40.5" x14ac:dyDescent="0.35">
      <c r="A38" s="8" t="s">
        <v>94</v>
      </c>
      <c r="B38" s="8" t="s">
        <v>132</v>
      </c>
      <c r="C38" s="8" t="s">
        <v>75</v>
      </c>
      <c r="D38" s="8" t="s">
        <v>528</v>
      </c>
      <c r="E38" s="8" t="s">
        <v>152</v>
      </c>
      <c r="F38" s="8">
        <v>4</v>
      </c>
      <c r="G38" s="8">
        <f t="shared" si="0"/>
        <v>3.2</v>
      </c>
      <c r="H38" s="8">
        <f t="shared" si="1"/>
        <v>4</v>
      </c>
      <c r="I38" s="8" t="s">
        <v>180</v>
      </c>
      <c r="J38" s="8" t="s">
        <v>173</v>
      </c>
      <c r="K38" s="8" t="s">
        <v>153</v>
      </c>
      <c r="L38" s="8" t="s">
        <v>131</v>
      </c>
      <c r="M38" s="8" t="s">
        <v>173</v>
      </c>
      <c r="N38" s="8" t="s">
        <v>174</v>
      </c>
    </row>
    <row r="39" spans="1:14" ht="40.5" x14ac:dyDescent="0.35">
      <c r="A39" s="8" t="s">
        <v>94</v>
      </c>
      <c r="B39" s="8" t="s">
        <v>133</v>
      </c>
      <c r="C39" s="8" t="s">
        <v>76</v>
      </c>
      <c r="D39" s="8" t="s">
        <v>529</v>
      </c>
      <c r="E39" s="8" t="s">
        <v>152</v>
      </c>
      <c r="F39" s="8">
        <v>2</v>
      </c>
      <c r="G39" s="8">
        <f t="shared" si="0"/>
        <v>1.6</v>
      </c>
      <c r="H39" s="8">
        <f t="shared" si="1"/>
        <v>2</v>
      </c>
      <c r="I39" s="8" t="s">
        <v>180</v>
      </c>
      <c r="J39" s="8" t="s">
        <v>173</v>
      </c>
      <c r="K39" s="8" t="s">
        <v>153</v>
      </c>
      <c r="L39" s="8" t="s">
        <v>132</v>
      </c>
      <c r="M39" s="8" t="s">
        <v>173</v>
      </c>
      <c r="N39" s="8" t="s">
        <v>174</v>
      </c>
    </row>
    <row r="40" spans="1:14" ht="40.5" x14ac:dyDescent="0.35">
      <c r="A40" s="8" t="s">
        <v>94</v>
      </c>
      <c r="B40" s="8" t="s">
        <v>134</v>
      </c>
      <c r="C40" s="8" t="s">
        <v>77</v>
      </c>
      <c r="D40" s="8" t="s">
        <v>530</v>
      </c>
      <c r="E40" s="8" t="s">
        <v>152</v>
      </c>
      <c r="F40" s="8">
        <v>2</v>
      </c>
      <c r="G40" s="8">
        <f t="shared" si="0"/>
        <v>1.6</v>
      </c>
      <c r="H40" s="8">
        <f t="shared" si="1"/>
        <v>2</v>
      </c>
      <c r="I40" s="8" t="s">
        <v>181</v>
      </c>
      <c r="J40" s="8" t="s">
        <v>173</v>
      </c>
      <c r="K40" s="8" t="s">
        <v>491</v>
      </c>
      <c r="L40" s="8" t="s">
        <v>133</v>
      </c>
      <c r="M40" s="8" t="s">
        <v>173</v>
      </c>
      <c r="N40" s="8" t="s">
        <v>174</v>
      </c>
    </row>
    <row r="41" spans="1:14" ht="27" x14ac:dyDescent="0.35">
      <c r="A41" s="8" t="s">
        <v>94</v>
      </c>
      <c r="B41" s="8" t="s">
        <v>135</v>
      </c>
      <c r="C41" s="8" t="s">
        <v>78</v>
      </c>
      <c r="D41" s="8" t="s">
        <v>531</v>
      </c>
      <c r="E41" s="8" t="s">
        <v>152</v>
      </c>
      <c r="F41" s="8">
        <v>4</v>
      </c>
      <c r="G41" s="8">
        <f t="shared" si="0"/>
        <v>3.2</v>
      </c>
      <c r="H41" s="8">
        <f t="shared" si="1"/>
        <v>4</v>
      </c>
      <c r="I41" s="8" t="s">
        <v>179</v>
      </c>
      <c r="J41" s="8" t="s">
        <v>173</v>
      </c>
      <c r="K41" s="8" t="s">
        <v>491</v>
      </c>
      <c r="L41" s="8" t="s">
        <v>134</v>
      </c>
      <c r="M41" s="8" t="s">
        <v>173</v>
      </c>
      <c r="N41" s="8" t="s">
        <v>174</v>
      </c>
    </row>
    <row r="42" spans="1:14" ht="54" x14ac:dyDescent="0.35">
      <c r="A42" s="8" t="s">
        <v>94</v>
      </c>
      <c r="B42" s="8" t="s">
        <v>136</v>
      </c>
      <c r="C42" s="8" t="s">
        <v>79</v>
      </c>
      <c r="D42" s="8" t="s">
        <v>532</v>
      </c>
      <c r="E42" s="8" t="s">
        <v>152</v>
      </c>
      <c r="F42" s="8">
        <v>12</v>
      </c>
      <c r="G42" s="8">
        <f t="shared" si="0"/>
        <v>9.6000000000000014</v>
      </c>
      <c r="H42" s="8">
        <f t="shared" si="1"/>
        <v>12</v>
      </c>
      <c r="I42" s="8" t="s">
        <v>182</v>
      </c>
      <c r="J42" s="8" t="s">
        <v>174</v>
      </c>
      <c r="K42" s="8" t="s">
        <v>153</v>
      </c>
      <c r="L42" s="8" t="s">
        <v>135</v>
      </c>
      <c r="M42" s="8" t="s">
        <v>173</v>
      </c>
      <c r="N42" s="8" t="s">
        <v>174</v>
      </c>
    </row>
    <row r="43" spans="1:14" ht="27" x14ac:dyDescent="0.35">
      <c r="A43" s="8" t="s">
        <v>94</v>
      </c>
      <c r="B43" s="8" t="s">
        <v>137</v>
      </c>
      <c r="C43" s="8" t="s">
        <v>80</v>
      </c>
      <c r="D43" s="8" t="s">
        <v>533</v>
      </c>
      <c r="E43" s="8" t="s">
        <v>152</v>
      </c>
      <c r="F43" s="8">
        <v>24</v>
      </c>
      <c r="G43" s="8">
        <f t="shared" si="0"/>
        <v>19.200000000000003</v>
      </c>
      <c r="H43" s="8">
        <f t="shared" si="1"/>
        <v>24</v>
      </c>
      <c r="I43" s="8" t="s">
        <v>182</v>
      </c>
      <c r="J43" s="8" t="s">
        <v>174</v>
      </c>
      <c r="K43" s="8" t="s">
        <v>153</v>
      </c>
      <c r="L43" s="8" t="s">
        <v>136</v>
      </c>
      <c r="M43" s="8" t="s">
        <v>173</v>
      </c>
      <c r="N43" s="8" t="s">
        <v>174</v>
      </c>
    </row>
    <row r="44" spans="1:14" ht="54" x14ac:dyDescent="0.35">
      <c r="A44" s="8" t="s">
        <v>94</v>
      </c>
      <c r="B44" s="8" t="s">
        <v>138</v>
      </c>
      <c r="C44" s="8" t="s">
        <v>81</v>
      </c>
      <c r="D44" s="8" t="s">
        <v>534</v>
      </c>
      <c r="E44" s="8" t="s">
        <v>152</v>
      </c>
      <c r="F44" s="8">
        <v>4</v>
      </c>
      <c r="G44" s="8">
        <f t="shared" si="0"/>
        <v>3.2</v>
      </c>
      <c r="H44" s="8">
        <f t="shared" si="1"/>
        <v>4</v>
      </c>
      <c r="I44" s="8" t="s">
        <v>179</v>
      </c>
      <c r="J44" s="8" t="s">
        <v>173</v>
      </c>
      <c r="K44" s="8" t="s">
        <v>153</v>
      </c>
      <c r="L44" s="8" t="s">
        <v>137</v>
      </c>
      <c r="M44" s="8" t="s">
        <v>173</v>
      </c>
      <c r="N44" s="8" t="s">
        <v>174</v>
      </c>
    </row>
    <row r="45" spans="1:14" ht="54" x14ac:dyDescent="0.35">
      <c r="A45" s="8" t="s">
        <v>94</v>
      </c>
      <c r="B45" s="8" t="s">
        <v>139</v>
      </c>
      <c r="C45" s="8" t="s">
        <v>82</v>
      </c>
      <c r="D45" s="8" t="s">
        <v>535</v>
      </c>
      <c r="E45" s="8" t="s">
        <v>152</v>
      </c>
      <c r="F45" s="8">
        <v>8</v>
      </c>
      <c r="G45" s="8">
        <f t="shared" si="0"/>
        <v>6.4</v>
      </c>
      <c r="H45" s="8">
        <f t="shared" si="1"/>
        <v>8</v>
      </c>
      <c r="I45" s="8" t="s">
        <v>183</v>
      </c>
      <c r="J45" s="8" t="s">
        <v>174</v>
      </c>
      <c r="K45" s="8" t="s">
        <v>153</v>
      </c>
      <c r="L45" s="8" t="s">
        <v>138</v>
      </c>
      <c r="M45" s="8" t="s">
        <v>173</v>
      </c>
      <c r="N45" s="8" t="s">
        <v>174</v>
      </c>
    </row>
    <row r="46" spans="1:14" ht="27" x14ac:dyDescent="0.35">
      <c r="A46" s="8" t="s">
        <v>94</v>
      </c>
      <c r="B46" s="8" t="s">
        <v>140</v>
      </c>
      <c r="C46" s="8" t="s">
        <v>83</v>
      </c>
      <c r="D46" s="8" t="s">
        <v>536</v>
      </c>
      <c r="E46" s="8" t="s">
        <v>153</v>
      </c>
      <c r="F46" s="8">
        <v>24</v>
      </c>
      <c r="G46" s="8">
        <f t="shared" si="0"/>
        <v>19.200000000000003</v>
      </c>
      <c r="H46" s="8">
        <f t="shared" si="1"/>
        <v>24</v>
      </c>
      <c r="I46" s="8" t="s">
        <v>179</v>
      </c>
      <c r="J46" s="8" t="s">
        <v>174</v>
      </c>
      <c r="K46" s="8" t="s">
        <v>153</v>
      </c>
      <c r="L46" s="8" t="s">
        <v>139</v>
      </c>
      <c r="M46" s="8" t="s">
        <v>173</v>
      </c>
      <c r="N46" s="8" t="s">
        <v>174</v>
      </c>
    </row>
    <row r="47" spans="1:14" ht="40.5" x14ac:dyDescent="0.35">
      <c r="A47" s="8" t="s">
        <v>94</v>
      </c>
      <c r="B47" s="8" t="s">
        <v>141</v>
      </c>
      <c r="C47" s="8" t="s">
        <v>84</v>
      </c>
      <c r="D47" s="8" t="s">
        <v>537</v>
      </c>
      <c r="E47" s="8" t="s">
        <v>152</v>
      </c>
      <c r="F47" s="8">
        <v>4</v>
      </c>
      <c r="G47" s="8">
        <f t="shared" si="0"/>
        <v>3.2</v>
      </c>
      <c r="H47" s="8">
        <f t="shared" si="1"/>
        <v>4</v>
      </c>
      <c r="I47" s="8" t="s">
        <v>179</v>
      </c>
      <c r="J47" s="8" t="s">
        <v>173</v>
      </c>
      <c r="K47" s="8" t="s">
        <v>153</v>
      </c>
      <c r="L47" s="8" t="s">
        <v>140</v>
      </c>
      <c r="M47" s="8" t="s">
        <v>173</v>
      </c>
      <c r="N47" s="8" t="s">
        <v>174</v>
      </c>
    </row>
    <row r="48" spans="1:14" ht="40.5" x14ac:dyDescent="0.35">
      <c r="A48" s="8" t="s">
        <v>94</v>
      </c>
      <c r="B48" s="8" t="s">
        <v>142</v>
      </c>
      <c r="C48" s="8" t="s">
        <v>85</v>
      </c>
      <c r="D48" s="8" t="s">
        <v>538</v>
      </c>
      <c r="E48" s="8" t="s">
        <v>152</v>
      </c>
      <c r="F48" s="8">
        <v>2</v>
      </c>
      <c r="G48" s="8">
        <f t="shared" si="0"/>
        <v>1.6</v>
      </c>
      <c r="H48" s="8">
        <f t="shared" si="1"/>
        <v>2</v>
      </c>
      <c r="I48" s="8" t="s">
        <v>184</v>
      </c>
      <c r="J48" s="8" t="s">
        <v>173</v>
      </c>
      <c r="K48" s="8" t="s">
        <v>153</v>
      </c>
      <c r="L48" s="8" t="s">
        <v>141</v>
      </c>
      <c r="M48" s="8" t="s">
        <v>173</v>
      </c>
      <c r="N48" s="8" t="s">
        <v>174</v>
      </c>
    </row>
    <row r="49" spans="1:14" ht="54" x14ac:dyDescent="0.35">
      <c r="A49" s="8" t="s">
        <v>94</v>
      </c>
      <c r="B49" s="8" t="s">
        <v>143</v>
      </c>
      <c r="C49" s="8" t="s">
        <v>86</v>
      </c>
      <c r="D49" s="8" t="s">
        <v>539</v>
      </c>
      <c r="E49" s="8" t="s">
        <v>152</v>
      </c>
      <c r="F49" s="8">
        <v>4</v>
      </c>
      <c r="G49" s="8">
        <f t="shared" si="0"/>
        <v>3.2</v>
      </c>
      <c r="H49" s="8">
        <f t="shared" si="1"/>
        <v>4</v>
      </c>
      <c r="I49" s="8" t="s">
        <v>180</v>
      </c>
      <c r="J49" s="8" t="s">
        <v>173</v>
      </c>
      <c r="K49" s="8" t="s">
        <v>153</v>
      </c>
      <c r="L49" s="8" t="s">
        <v>142</v>
      </c>
      <c r="M49" s="8" t="s">
        <v>173</v>
      </c>
      <c r="N49" s="8" t="s">
        <v>174</v>
      </c>
    </row>
    <row r="50" spans="1:14" ht="40.5" x14ac:dyDescent="0.35">
      <c r="A50" s="8" t="s">
        <v>94</v>
      </c>
      <c r="B50" s="8" t="s">
        <v>144</v>
      </c>
      <c r="C50" s="8" t="s">
        <v>87</v>
      </c>
      <c r="D50" s="8" t="s">
        <v>540</v>
      </c>
      <c r="E50" s="8" t="s">
        <v>152</v>
      </c>
      <c r="F50" s="8">
        <v>2</v>
      </c>
      <c r="G50" s="8">
        <f t="shared" si="0"/>
        <v>1.6</v>
      </c>
      <c r="H50" s="8">
        <f t="shared" si="1"/>
        <v>2</v>
      </c>
      <c r="I50" s="8" t="s">
        <v>180</v>
      </c>
      <c r="J50" s="8" t="s">
        <v>173</v>
      </c>
      <c r="K50" s="8" t="s">
        <v>491</v>
      </c>
      <c r="L50" s="8" t="s">
        <v>143</v>
      </c>
      <c r="M50" s="8" t="s">
        <v>173</v>
      </c>
      <c r="N50" s="8" t="s">
        <v>174</v>
      </c>
    </row>
    <row r="51" spans="1:14" ht="40.5" x14ac:dyDescent="0.35">
      <c r="A51" s="8" t="s">
        <v>94</v>
      </c>
      <c r="B51" s="8" t="s">
        <v>145</v>
      </c>
      <c r="C51" s="8" t="s">
        <v>88</v>
      </c>
      <c r="D51" s="8" t="s">
        <v>541</v>
      </c>
      <c r="E51" s="8" t="s">
        <v>152</v>
      </c>
      <c r="F51" s="8">
        <v>2</v>
      </c>
      <c r="G51" s="8">
        <f t="shared" si="0"/>
        <v>1.6</v>
      </c>
      <c r="H51" s="8">
        <f t="shared" si="1"/>
        <v>2</v>
      </c>
      <c r="I51" s="8" t="s">
        <v>180</v>
      </c>
      <c r="J51" s="8" t="s">
        <v>173</v>
      </c>
      <c r="K51" s="8" t="s">
        <v>491</v>
      </c>
      <c r="L51" s="8" t="s">
        <v>144</v>
      </c>
      <c r="M51" s="8" t="s">
        <v>173</v>
      </c>
      <c r="N51" s="8" t="s">
        <v>174</v>
      </c>
    </row>
    <row r="52" spans="1:14" ht="40.5" x14ac:dyDescent="0.35">
      <c r="A52" s="8" t="s">
        <v>94</v>
      </c>
      <c r="B52" s="8" t="s">
        <v>146</v>
      </c>
      <c r="C52" s="8" t="s">
        <v>89</v>
      </c>
      <c r="D52" s="8" t="s">
        <v>542</v>
      </c>
      <c r="E52" s="8" t="s">
        <v>152</v>
      </c>
      <c r="F52" s="8">
        <v>4</v>
      </c>
      <c r="G52" s="8">
        <f t="shared" si="0"/>
        <v>3.2</v>
      </c>
      <c r="H52" s="8">
        <f t="shared" si="1"/>
        <v>4</v>
      </c>
      <c r="I52" s="8" t="s">
        <v>179</v>
      </c>
      <c r="J52" s="8" t="s">
        <v>173</v>
      </c>
      <c r="K52" s="8" t="s">
        <v>491</v>
      </c>
      <c r="L52" s="8" t="s">
        <v>145</v>
      </c>
      <c r="M52" s="8" t="s">
        <v>173</v>
      </c>
      <c r="N52" s="8" t="s">
        <v>174</v>
      </c>
    </row>
    <row r="53" spans="1:14" ht="40.5" x14ac:dyDescent="0.35">
      <c r="A53" s="8" t="s">
        <v>94</v>
      </c>
      <c r="B53" s="8" t="s">
        <v>147</v>
      </c>
      <c r="C53" s="8" t="s">
        <v>90</v>
      </c>
      <c r="D53" s="8" t="s">
        <v>543</v>
      </c>
      <c r="E53" s="8" t="s">
        <v>153</v>
      </c>
      <c r="F53" s="8">
        <v>16</v>
      </c>
      <c r="G53" s="8">
        <f t="shared" si="0"/>
        <v>12.8</v>
      </c>
      <c r="H53" s="8">
        <f t="shared" si="1"/>
        <v>16</v>
      </c>
      <c r="I53" s="8" t="s">
        <v>180</v>
      </c>
      <c r="J53" s="8" t="s">
        <v>174</v>
      </c>
      <c r="K53" s="8" t="s">
        <v>491</v>
      </c>
      <c r="L53" s="8" t="s">
        <v>146</v>
      </c>
      <c r="M53" s="8" t="s">
        <v>174</v>
      </c>
      <c r="N53" s="8" t="s">
        <v>174</v>
      </c>
    </row>
    <row r="54" spans="1:14" ht="54" x14ac:dyDescent="0.35">
      <c r="A54" s="8" t="s">
        <v>94</v>
      </c>
      <c r="B54" s="8" t="s">
        <v>148</v>
      </c>
      <c r="C54" s="8" t="s">
        <v>91</v>
      </c>
      <c r="D54" s="8" t="s">
        <v>544</v>
      </c>
      <c r="E54" s="8" t="s">
        <v>152</v>
      </c>
      <c r="F54" s="8">
        <v>8</v>
      </c>
      <c r="G54" s="8">
        <f t="shared" si="0"/>
        <v>6.4</v>
      </c>
      <c r="H54" s="8">
        <f t="shared" si="1"/>
        <v>8</v>
      </c>
      <c r="I54" s="8" t="s">
        <v>185</v>
      </c>
      <c r="J54" s="8" t="s">
        <v>174</v>
      </c>
      <c r="K54" s="8" t="s">
        <v>491</v>
      </c>
      <c r="L54" s="8" t="s">
        <v>147</v>
      </c>
      <c r="M54" s="8" t="s">
        <v>174</v>
      </c>
      <c r="N54" s="8" t="s">
        <v>174</v>
      </c>
    </row>
    <row r="55" spans="1:14" ht="27" x14ac:dyDescent="0.35">
      <c r="A55" s="8" t="s">
        <v>94</v>
      </c>
      <c r="B55" s="8" t="s">
        <v>149</v>
      </c>
      <c r="C55" s="8" t="s">
        <v>92</v>
      </c>
      <c r="D55" s="8" t="s">
        <v>545</v>
      </c>
      <c r="E55" s="8" t="s">
        <v>152</v>
      </c>
      <c r="F55" s="8">
        <v>2</v>
      </c>
      <c r="G55" s="8">
        <f t="shared" si="0"/>
        <v>1.6</v>
      </c>
      <c r="H55" s="8">
        <f t="shared" si="1"/>
        <v>2</v>
      </c>
      <c r="I55" s="8" t="s">
        <v>180</v>
      </c>
      <c r="J55" s="8" t="s">
        <v>173</v>
      </c>
      <c r="K55" s="8" t="s">
        <v>491</v>
      </c>
      <c r="L55" s="8" t="s">
        <v>148</v>
      </c>
      <c r="M55" s="8" t="s">
        <v>173</v>
      </c>
      <c r="N55" s="8" t="s">
        <v>174</v>
      </c>
    </row>
    <row r="56" spans="1:14" ht="40.5" x14ac:dyDescent="0.35">
      <c r="A56" s="8" t="s">
        <v>94</v>
      </c>
      <c r="B56" s="8" t="s">
        <v>150</v>
      </c>
      <c r="C56" s="8" t="s">
        <v>93</v>
      </c>
      <c r="D56" s="8" t="s">
        <v>546</v>
      </c>
      <c r="E56" s="8" t="s">
        <v>152</v>
      </c>
      <c r="F56" s="8">
        <v>4</v>
      </c>
      <c r="G56" s="8">
        <f t="shared" si="0"/>
        <v>3.2</v>
      </c>
      <c r="H56" s="8">
        <f t="shared" si="1"/>
        <v>4</v>
      </c>
      <c r="I56" s="8" t="s">
        <v>186</v>
      </c>
      <c r="J56" s="8" t="s">
        <v>173</v>
      </c>
      <c r="K56" s="8" t="s">
        <v>491</v>
      </c>
      <c r="L56" s="8" t="s">
        <v>149</v>
      </c>
      <c r="M56" s="8" t="s">
        <v>174</v>
      </c>
      <c r="N56" s="8" t="s">
        <v>174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04D2-1F7F-4FF5-AE83-ADE9AB8CFE63}">
  <dimension ref="A1:L6"/>
  <sheetViews>
    <sheetView workbookViewId="0">
      <selection activeCell="C3" sqref="C3"/>
    </sheetView>
    <sheetView workbookViewId="1"/>
  </sheetViews>
  <sheetFormatPr defaultRowHeight="14.5" x14ac:dyDescent="0.35"/>
  <cols>
    <col min="1" max="1" width="8.453125" customWidth="1"/>
    <col min="2" max="6" width="16.54296875" customWidth="1"/>
    <col min="7" max="7" width="14.54296875" bestFit="1" customWidth="1"/>
    <col min="8" max="8" width="13.453125" bestFit="1" customWidth="1"/>
    <col min="9" max="9" width="15" customWidth="1"/>
    <col min="10" max="10" width="15" bestFit="1" customWidth="1"/>
    <col min="11" max="11" width="11.453125" bestFit="1" customWidth="1"/>
    <col min="12" max="12" width="14.54296875" customWidth="1"/>
  </cols>
  <sheetData>
    <row r="1" spans="1:12" x14ac:dyDescent="0.35">
      <c r="A1" s="9" t="s">
        <v>0</v>
      </c>
      <c r="B1" s="9" t="s">
        <v>371</v>
      </c>
      <c r="C1" s="9" t="s">
        <v>372</v>
      </c>
      <c r="D1" s="9" t="s">
        <v>311</v>
      </c>
      <c r="E1" s="9" t="s">
        <v>151</v>
      </c>
      <c r="F1" s="9" t="s">
        <v>357</v>
      </c>
      <c r="G1" s="9" t="s">
        <v>1</v>
      </c>
      <c r="H1" s="9" t="s">
        <v>30</v>
      </c>
      <c r="I1" s="9" t="s">
        <v>2</v>
      </c>
      <c r="J1" s="9" t="s">
        <v>3</v>
      </c>
      <c r="K1" s="9" t="s">
        <v>4</v>
      </c>
      <c r="L1" s="9" t="s">
        <v>5</v>
      </c>
    </row>
    <row r="2" spans="1:12" ht="27" x14ac:dyDescent="0.35">
      <c r="A2" s="8" t="s">
        <v>190</v>
      </c>
      <c r="B2" s="8" t="s">
        <v>191</v>
      </c>
      <c r="C2" s="8" t="s">
        <v>373</v>
      </c>
      <c r="D2" s="8" t="s">
        <v>312</v>
      </c>
      <c r="E2" s="8" t="s">
        <v>192</v>
      </c>
      <c r="F2" s="8" t="s">
        <v>361</v>
      </c>
      <c r="G2" s="8" t="s">
        <v>187</v>
      </c>
      <c r="H2" s="8" t="s">
        <v>118</v>
      </c>
      <c r="I2" s="10">
        <v>45901</v>
      </c>
      <c r="J2" s="8" t="s">
        <v>193</v>
      </c>
      <c r="K2" s="8" t="s">
        <v>194</v>
      </c>
      <c r="L2" s="8" t="s">
        <v>195</v>
      </c>
    </row>
    <row r="3" spans="1:12" ht="27" x14ac:dyDescent="0.35">
      <c r="A3" s="8" t="s">
        <v>196</v>
      </c>
      <c r="B3" s="8" t="s">
        <v>197</v>
      </c>
      <c r="C3" s="8" t="s">
        <v>374</v>
      </c>
      <c r="D3" s="8" t="s">
        <v>312</v>
      </c>
      <c r="E3" s="8" t="s">
        <v>198</v>
      </c>
      <c r="F3" s="8" t="s">
        <v>362</v>
      </c>
      <c r="G3" s="8" t="s">
        <v>189</v>
      </c>
      <c r="H3" s="8" t="s">
        <v>127</v>
      </c>
      <c r="I3" s="10">
        <v>45894</v>
      </c>
      <c r="J3" s="8" t="s">
        <v>193</v>
      </c>
      <c r="K3" s="8" t="s">
        <v>199</v>
      </c>
      <c r="L3" s="8" t="s">
        <v>200</v>
      </c>
    </row>
    <row r="4" spans="1:12" ht="27" x14ac:dyDescent="0.35">
      <c r="A4" s="8" t="s">
        <v>201</v>
      </c>
      <c r="B4" s="8" t="s">
        <v>202</v>
      </c>
      <c r="C4" s="8" t="s">
        <v>375</v>
      </c>
      <c r="D4" s="8" t="s">
        <v>312</v>
      </c>
      <c r="E4" s="8" t="s">
        <v>192</v>
      </c>
      <c r="F4" s="8" t="s">
        <v>363</v>
      </c>
      <c r="G4" s="8" t="s">
        <v>94</v>
      </c>
      <c r="H4" s="8" t="s">
        <v>140</v>
      </c>
      <c r="I4" s="10">
        <v>45905</v>
      </c>
      <c r="J4" s="8" t="s">
        <v>193</v>
      </c>
      <c r="K4" s="8" t="s">
        <v>194</v>
      </c>
      <c r="L4" s="8" t="s">
        <v>195</v>
      </c>
    </row>
    <row r="5" spans="1:12" ht="27" x14ac:dyDescent="0.35">
      <c r="A5" s="8" t="s">
        <v>203</v>
      </c>
      <c r="B5" s="8" t="s">
        <v>204</v>
      </c>
      <c r="C5" s="8" t="s">
        <v>376</v>
      </c>
      <c r="D5" s="8" t="s">
        <v>313</v>
      </c>
      <c r="E5" s="8" t="s">
        <v>198</v>
      </c>
      <c r="F5" s="8" t="s">
        <v>364</v>
      </c>
      <c r="G5" s="8" t="s">
        <v>94</v>
      </c>
      <c r="H5" s="8" t="s">
        <v>147</v>
      </c>
      <c r="I5" s="10">
        <v>45889</v>
      </c>
      <c r="J5" s="8" t="s">
        <v>193</v>
      </c>
      <c r="K5" s="8" t="s">
        <v>199</v>
      </c>
      <c r="L5" s="8" t="s">
        <v>200</v>
      </c>
    </row>
    <row r="6" spans="1:12" ht="27" x14ac:dyDescent="0.35">
      <c r="A6" s="8" t="s">
        <v>205</v>
      </c>
      <c r="B6" s="8" t="s">
        <v>206</v>
      </c>
      <c r="C6" s="8" t="s">
        <v>377</v>
      </c>
      <c r="D6" s="8" t="s">
        <v>313</v>
      </c>
      <c r="E6" s="8" t="s">
        <v>198</v>
      </c>
      <c r="F6" s="8" t="s">
        <v>365</v>
      </c>
      <c r="G6" s="8" t="s">
        <v>207</v>
      </c>
      <c r="H6" s="8" t="s">
        <v>150</v>
      </c>
      <c r="I6" s="10">
        <v>45870</v>
      </c>
      <c r="J6" s="8" t="s">
        <v>207</v>
      </c>
      <c r="K6" s="8" t="s">
        <v>208</v>
      </c>
      <c r="L6" s="8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D15F-577E-41F0-9DEA-52A5AB3F484E}">
  <dimension ref="A1:L23"/>
  <sheetViews>
    <sheetView workbookViewId="0">
      <selection activeCell="G5" sqref="G5"/>
    </sheetView>
    <sheetView workbookViewId="1"/>
  </sheetViews>
  <sheetFormatPr defaultRowHeight="14.5" x14ac:dyDescent="0.35"/>
  <cols>
    <col min="1" max="1" width="11.6328125" customWidth="1"/>
    <col min="2" max="2" width="12.453125" bestFit="1" customWidth="1"/>
    <col min="3" max="3" width="16.08984375" customWidth="1"/>
    <col min="4" max="4" width="17.7265625" customWidth="1"/>
    <col min="5" max="5" width="11.90625" customWidth="1"/>
    <col min="6" max="6" width="14.36328125" customWidth="1"/>
    <col min="7" max="7" width="13.453125" customWidth="1"/>
    <col min="8" max="8" width="21.08984375" customWidth="1"/>
    <col min="9" max="9" width="21.7265625" customWidth="1"/>
    <col min="10" max="10" width="18" customWidth="1"/>
  </cols>
  <sheetData>
    <row r="1" spans="1:12" x14ac:dyDescent="0.35">
      <c r="A1" s="9" t="s">
        <v>0</v>
      </c>
      <c r="B1" s="9" t="s">
        <v>14</v>
      </c>
      <c r="C1" s="9" t="s">
        <v>1</v>
      </c>
      <c r="D1" s="9" t="s">
        <v>32</v>
      </c>
      <c r="E1" s="9" t="s">
        <v>18</v>
      </c>
      <c r="F1" s="9" t="s">
        <v>31</v>
      </c>
      <c r="G1" s="9" t="s">
        <v>19</v>
      </c>
      <c r="H1" s="9" t="s">
        <v>33</v>
      </c>
      <c r="I1" s="9" t="s">
        <v>21</v>
      </c>
      <c r="J1" s="9" t="s">
        <v>22</v>
      </c>
      <c r="K1" s="5"/>
      <c r="L1" s="5"/>
    </row>
    <row r="2" spans="1:12" ht="27" x14ac:dyDescent="0.35">
      <c r="A2" s="8" t="s">
        <v>190</v>
      </c>
      <c r="B2" s="8" t="s">
        <v>114</v>
      </c>
      <c r="C2" s="8" t="s">
        <v>187</v>
      </c>
      <c r="D2" s="8" t="s">
        <v>209</v>
      </c>
      <c r="E2" s="8" t="s">
        <v>207</v>
      </c>
      <c r="F2" s="10">
        <v>45901</v>
      </c>
      <c r="G2" s="8">
        <v>14</v>
      </c>
      <c r="H2" s="8" t="s">
        <v>157</v>
      </c>
      <c r="I2" s="8" t="s">
        <v>200</v>
      </c>
      <c r="J2" s="8" t="s">
        <v>200</v>
      </c>
    </row>
    <row r="3" spans="1:12" ht="27" x14ac:dyDescent="0.35">
      <c r="A3" s="8" t="s">
        <v>190</v>
      </c>
      <c r="B3" s="8" t="s">
        <v>115</v>
      </c>
      <c r="C3" s="8" t="s">
        <v>187</v>
      </c>
      <c r="D3" s="8" t="s">
        <v>320</v>
      </c>
      <c r="E3" s="8" t="s">
        <v>207</v>
      </c>
      <c r="F3" s="10">
        <v>45902</v>
      </c>
      <c r="G3" s="8">
        <v>28</v>
      </c>
      <c r="H3" s="8" t="s">
        <v>210</v>
      </c>
      <c r="I3" s="8" t="s">
        <v>200</v>
      </c>
      <c r="J3" s="8" t="s">
        <v>195</v>
      </c>
    </row>
    <row r="4" spans="1:12" ht="27" x14ac:dyDescent="0.35">
      <c r="A4" s="8" t="s">
        <v>190</v>
      </c>
      <c r="B4" s="8" t="s">
        <v>116</v>
      </c>
      <c r="C4" s="8" t="s">
        <v>187</v>
      </c>
      <c r="D4" s="8" t="s">
        <v>321</v>
      </c>
      <c r="E4" s="8" t="s">
        <v>207</v>
      </c>
      <c r="F4" s="10">
        <v>45903</v>
      </c>
      <c r="G4" s="8">
        <v>12</v>
      </c>
      <c r="H4" s="8" t="s">
        <v>157</v>
      </c>
      <c r="I4" s="8" t="s">
        <v>200</v>
      </c>
      <c r="J4" s="8" t="s">
        <v>200</v>
      </c>
    </row>
    <row r="5" spans="1:12" ht="27" x14ac:dyDescent="0.35">
      <c r="A5" s="8" t="s">
        <v>190</v>
      </c>
      <c r="B5" s="8" t="s">
        <v>117</v>
      </c>
      <c r="C5" s="8" t="s">
        <v>187</v>
      </c>
      <c r="D5" s="8" t="s">
        <v>321</v>
      </c>
      <c r="E5" s="8" t="s">
        <v>207</v>
      </c>
      <c r="F5" s="10">
        <v>45904</v>
      </c>
      <c r="G5" s="8">
        <v>14</v>
      </c>
      <c r="H5" s="8" t="s">
        <v>157</v>
      </c>
      <c r="I5" s="8" t="s">
        <v>200</v>
      </c>
      <c r="J5" s="8" t="s">
        <v>200</v>
      </c>
    </row>
    <row r="6" spans="1:12" ht="27" x14ac:dyDescent="0.35">
      <c r="A6" s="8" t="s">
        <v>190</v>
      </c>
      <c r="B6" s="8" t="s">
        <v>118</v>
      </c>
      <c r="C6" s="8" t="s">
        <v>187</v>
      </c>
      <c r="D6" s="8" t="s">
        <v>322</v>
      </c>
      <c r="E6" s="8" t="s">
        <v>193</v>
      </c>
      <c r="F6" s="10">
        <v>45905</v>
      </c>
      <c r="G6" s="8">
        <v>96</v>
      </c>
      <c r="H6" s="8" t="s">
        <v>223</v>
      </c>
      <c r="I6" s="8" t="s">
        <v>195</v>
      </c>
      <c r="J6" s="8" t="s">
        <v>195</v>
      </c>
    </row>
    <row r="7" spans="1:12" ht="27" x14ac:dyDescent="0.35">
      <c r="A7" s="8" t="s">
        <v>196</v>
      </c>
      <c r="B7" s="8" t="s">
        <v>121</v>
      </c>
      <c r="C7" s="8" t="s">
        <v>189</v>
      </c>
      <c r="D7" s="8" t="s">
        <v>209</v>
      </c>
      <c r="E7" s="8" t="s">
        <v>207</v>
      </c>
      <c r="F7" s="10">
        <v>45894</v>
      </c>
      <c r="G7" s="8">
        <v>8</v>
      </c>
      <c r="H7" s="8" t="s">
        <v>157</v>
      </c>
      <c r="I7" s="8" t="s">
        <v>200</v>
      </c>
      <c r="J7" s="8" t="s">
        <v>200</v>
      </c>
    </row>
    <row r="8" spans="1:12" ht="27" x14ac:dyDescent="0.35">
      <c r="A8" s="8" t="s">
        <v>196</v>
      </c>
      <c r="B8" s="8" t="s">
        <v>122</v>
      </c>
      <c r="C8" s="8" t="s">
        <v>189</v>
      </c>
      <c r="D8" s="8" t="s">
        <v>323</v>
      </c>
      <c r="E8" s="8" t="s">
        <v>207</v>
      </c>
      <c r="F8" s="10">
        <v>45895</v>
      </c>
      <c r="G8" s="8">
        <v>26</v>
      </c>
      <c r="H8" s="8" t="s">
        <v>212</v>
      </c>
      <c r="I8" s="8" t="s">
        <v>200</v>
      </c>
      <c r="J8" s="8" t="s">
        <v>200</v>
      </c>
    </row>
    <row r="9" spans="1:12" ht="27" x14ac:dyDescent="0.35">
      <c r="A9" s="8" t="s">
        <v>196</v>
      </c>
      <c r="B9" s="8" t="s">
        <v>123</v>
      </c>
      <c r="C9" s="8" t="s">
        <v>189</v>
      </c>
      <c r="D9" s="8" t="s">
        <v>323</v>
      </c>
      <c r="E9" s="8" t="s">
        <v>207</v>
      </c>
      <c r="F9" s="10">
        <v>45896</v>
      </c>
      <c r="G9" s="8">
        <v>24</v>
      </c>
      <c r="H9" s="8" t="s">
        <v>157</v>
      </c>
      <c r="I9" s="8" t="s">
        <v>200</v>
      </c>
      <c r="J9" s="8" t="s">
        <v>200</v>
      </c>
    </row>
    <row r="10" spans="1:12" ht="27" x14ac:dyDescent="0.35">
      <c r="A10" s="8" t="s">
        <v>196</v>
      </c>
      <c r="B10" s="8" t="s">
        <v>124</v>
      </c>
      <c r="C10" s="8" t="s">
        <v>189</v>
      </c>
      <c r="D10" s="8" t="s">
        <v>324</v>
      </c>
      <c r="E10" s="8" t="s">
        <v>207</v>
      </c>
      <c r="F10" s="10">
        <v>45897</v>
      </c>
      <c r="G10" s="8">
        <v>25</v>
      </c>
      <c r="H10" s="8" t="s">
        <v>221</v>
      </c>
      <c r="I10" s="8" t="s">
        <v>200</v>
      </c>
      <c r="J10" s="8" t="s">
        <v>200</v>
      </c>
    </row>
    <row r="11" spans="1:12" ht="27" x14ac:dyDescent="0.35">
      <c r="A11" s="8" t="s">
        <v>196</v>
      </c>
      <c r="B11" s="8" t="s">
        <v>125</v>
      </c>
      <c r="C11" s="8" t="s">
        <v>189</v>
      </c>
      <c r="D11" s="8" t="s">
        <v>321</v>
      </c>
      <c r="E11" s="8" t="s">
        <v>207</v>
      </c>
      <c r="F11" s="10">
        <v>45899</v>
      </c>
      <c r="G11" s="8">
        <v>18</v>
      </c>
      <c r="H11" s="8" t="s">
        <v>157</v>
      </c>
      <c r="I11" s="8" t="s">
        <v>200</v>
      </c>
      <c r="J11" s="8" t="s">
        <v>200</v>
      </c>
    </row>
    <row r="12" spans="1:12" ht="27" x14ac:dyDescent="0.35">
      <c r="A12" s="8" t="s">
        <v>196</v>
      </c>
      <c r="B12" s="8" t="s">
        <v>126</v>
      </c>
      <c r="C12" s="8" t="s">
        <v>189</v>
      </c>
      <c r="D12" s="8" t="s">
        <v>321</v>
      </c>
      <c r="E12" s="8" t="s">
        <v>207</v>
      </c>
      <c r="F12" s="10">
        <v>45901</v>
      </c>
      <c r="G12" s="8">
        <v>12</v>
      </c>
      <c r="H12" s="8" t="s">
        <v>157</v>
      </c>
      <c r="I12" s="8" t="s">
        <v>200</v>
      </c>
      <c r="J12" s="8" t="s">
        <v>200</v>
      </c>
    </row>
    <row r="13" spans="1:12" ht="27" x14ac:dyDescent="0.35">
      <c r="A13" s="8" t="s">
        <v>196</v>
      </c>
      <c r="B13" s="8" t="s">
        <v>127</v>
      </c>
      <c r="C13" s="8" t="s">
        <v>189</v>
      </c>
      <c r="D13" s="8" t="s">
        <v>324</v>
      </c>
      <c r="E13" s="8" t="s">
        <v>193</v>
      </c>
      <c r="F13" s="10">
        <v>45902</v>
      </c>
      <c r="G13" s="8">
        <v>78</v>
      </c>
      <c r="H13" s="8" t="s">
        <v>157</v>
      </c>
      <c r="I13" s="8" t="s">
        <v>200</v>
      </c>
      <c r="J13" s="8" t="s">
        <v>200</v>
      </c>
    </row>
    <row r="14" spans="1:12" x14ac:dyDescent="0.35">
      <c r="A14" s="8" t="s">
        <v>201</v>
      </c>
      <c r="B14" s="8" t="s">
        <v>138</v>
      </c>
      <c r="C14" s="8" t="s">
        <v>94</v>
      </c>
      <c r="D14" s="8" t="s">
        <v>324</v>
      </c>
      <c r="E14" s="8" t="s">
        <v>207</v>
      </c>
      <c r="F14" s="10">
        <v>45905</v>
      </c>
      <c r="G14" s="8">
        <v>4</v>
      </c>
      <c r="H14" s="8" t="s">
        <v>157</v>
      </c>
      <c r="I14" s="8" t="s">
        <v>200</v>
      </c>
      <c r="J14" s="8" t="s">
        <v>200</v>
      </c>
    </row>
    <row r="15" spans="1:12" x14ac:dyDescent="0.35">
      <c r="A15" s="8" t="s">
        <v>201</v>
      </c>
      <c r="B15" s="8" t="s">
        <v>139</v>
      </c>
      <c r="C15" s="8" t="s">
        <v>94</v>
      </c>
      <c r="D15" s="8" t="s">
        <v>325</v>
      </c>
      <c r="E15" s="8" t="s">
        <v>207</v>
      </c>
      <c r="F15" s="10">
        <v>45906</v>
      </c>
      <c r="G15" s="8">
        <v>8</v>
      </c>
      <c r="H15" s="8" t="s">
        <v>157</v>
      </c>
      <c r="I15" s="8" t="s">
        <v>200</v>
      </c>
      <c r="J15" s="8" t="s">
        <v>200</v>
      </c>
    </row>
    <row r="16" spans="1:12" x14ac:dyDescent="0.35">
      <c r="A16" s="8" t="s">
        <v>201</v>
      </c>
      <c r="B16" s="8" t="s">
        <v>140</v>
      </c>
      <c r="C16" s="8" t="s">
        <v>94</v>
      </c>
      <c r="D16" s="8" t="s">
        <v>320</v>
      </c>
      <c r="E16" s="8" t="s">
        <v>193</v>
      </c>
      <c r="F16" s="10">
        <v>45907</v>
      </c>
      <c r="G16" s="8">
        <v>36</v>
      </c>
      <c r="H16" s="8" t="s">
        <v>226</v>
      </c>
      <c r="I16" s="8" t="s">
        <v>200</v>
      </c>
      <c r="J16" s="8" t="s">
        <v>195</v>
      </c>
    </row>
    <row r="17" spans="1:10" x14ac:dyDescent="0.35">
      <c r="A17" s="8" t="s">
        <v>203</v>
      </c>
      <c r="B17" s="8" t="s">
        <v>145</v>
      </c>
      <c r="C17" s="8" t="s">
        <v>94</v>
      </c>
      <c r="D17" s="8" t="s">
        <v>326</v>
      </c>
      <c r="E17" s="8" t="s">
        <v>207</v>
      </c>
      <c r="F17" s="10">
        <v>45889</v>
      </c>
      <c r="G17" s="8">
        <v>2</v>
      </c>
      <c r="H17" s="8" t="s">
        <v>157</v>
      </c>
      <c r="I17" s="8" t="s">
        <v>200</v>
      </c>
      <c r="J17" s="8" t="s">
        <v>200</v>
      </c>
    </row>
    <row r="18" spans="1:10" x14ac:dyDescent="0.35">
      <c r="A18" s="8" t="s">
        <v>203</v>
      </c>
      <c r="B18" s="8" t="s">
        <v>146</v>
      </c>
      <c r="C18" s="8" t="s">
        <v>94</v>
      </c>
      <c r="D18" s="8" t="s">
        <v>323</v>
      </c>
      <c r="E18" s="8" t="s">
        <v>207</v>
      </c>
      <c r="F18" s="10">
        <v>45890</v>
      </c>
      <c r="G18" s="8">
        <v>4</v>
      </c>
      <c r="H18" s="8" t="s">
        <v>157</v>
      </c>
      <c r="I18" s="8" t="s">
        <v>200</v>
      </c>
      <c r="J18" s="8" t="s">
        <v>200</v>
      </c>
    </row>
    <row r="19" spans="1:10" x14ac:dyDescent="0.35">
      <c r="A19" s="8" t="s">
        <v>203</v>
      </c>
      <c r="B19" s="8" t="s">
        <v>147</v>
      </c>
      <c r="C19" s="8" t="s">
        <v>94</v>
      </c>
      <c r="D19" s="8" t="s">
        <v>327</v>
      </c>
      <c r="E19" s="8" t="s">
        <v>193</v>
      </c>
      <c r="F19" s="10">
        <v>45891</v>
      </c>
      <c r="G19" s="8">
        <v>20</v>
      </c>
      <c r="H19" s="8" t="s">
        <v>216</v>
      </c>
      <c r="I19" s="8" t="s">
        <v>200</v>
      </c>
      <c r="J19" s="8" t="s">
        <v>200</v>
      </c>
    </row>
    <row r="20" spans="1:10" x14ac:dyDescent="0.35">
      <c r="A20" s="8" t="s">
        <v>205</v>
      </c>
      <c r="B20" s="8" t="s">
        <v>147</v>
      </c>
      <c r="C20" s="8" t="s">
        <v>94</v>
      </c>
      <c r="D20" s="8" t="s">
        <v>326</v>
      </c>
      <c r="E20" s="8" t="s">
        <v>207</v>
      </c>
      <c r="F20" s="10">
        <v>45870</v>
      </c>
      <c r="G20" s="8">
        <v>14</v>
      </c>
      <c r="H20" s="8" t="s">
        <v>157</v>
      </c>
      <c r="I20" s="8" t="s">
        <v>200</v>
      </c>
      <c r="J20" s="8" t="s">
        <v>200</v>
      </c>
    </row>
    <row r="21" spans="1:10" x14ac:dyDescent="0.35">
      <c r="A21" s="8" t="s">
        <v>205</v>
      </c>
      <c r="B21" s="8" t="s">
        <v>148</v>
      </c>
      <c r="C21" s="8" t="s">
        <v>94</v>
      </c>
      <c r="D21" s="8" t="s">
        <v>209</v>
      </c>
      <c r="E21" s="8" t="s">
        <v>207</v>
      </c>
      <c r="F21" s="10">
        <v>45871</v>
      </c>
      <c r="G21" s="8">
        <v>8</v>
      </c>
      <c r="H21" s="8" t="s">
        <v>157</v>
      </c>
      <c r="I21" s="8" t="s">
        <v>200</v>
      </c>
      <c r="J21" s="8" t="s">
        <v>200</v>
      </c>
    </row>
    <row r="22" spans="1:10" x14ac:dyDescent="0.35">
      <c r="A22" s="8" t="s">
        <v>205</v>
      </c>
      <c r="B22" s="8" t="s">
        <v>149</v>
      </c>
      <c r="C22" s="8" t="s">
        <v>94</v>
      </c>
      <c r="D22" s="8" t="s">
        <v>326</v>
      </c>
      <c r="E22" s="8" t="s">
        <v>207</v>
      </c>
      <c r="F22" s="10">
        <v>45872</v>
      </c>
      <c r="G22" s="8">
        <v>2</v>
      </c>
      <c r="H22" s="8" t="s">
        <v>157</v>
      </c>
      <c r="I22" s="8" t="s">
        <v>200</v>
      </c>
      <c r="J22" s="8" t="s">
        <v>200</v>
      </c>
    </row>
    <row r="23" spans="1:10" x14ac:dyDescent="0.35">
      <c r="A23" s="8" t="s">
        <v>205</v>
      </c>
      <c r="B23" s="8" t="s">
        <v>150</v>
      </c>
      <c r="C23" s="8" t="s">
        <v>94</v>
      </c>
      <c r="D23" s="8" t="s">
        <v>328</v>
      </c>
      <c r="E23" s="8" t="s">
        <v>207</v>
      </c>
      <c r="F23" s="10">
        <v>45873</v>
      </c>
      <c r="G23" s="8">
        <v>4</v>
      </c>
      <c r="H23" s="8" t="s">
        <v>157</v>
      </c>
      <c r="I23" s="8" t="s">
        <v>200</v>
      </c>
      <c r="J23" s="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2990-F514-47B4-8FBF-5423D7FA4CC6}">
  <dimension ref="A1:E35"/>
  <sheetViews>
    <sheetView workbookViewId="0">
      <selection sqref="A1:E1"/>
    </sheetView>
    <sheetView workbookViewId="1"/>
  </sheetViews>
  <sheetFormatPr defaultRowHeight="14.5" x14ac:dyDescent="0.35"/>
  <cols>
    <col min="1" max="1" width="11" customWidth="1"/>
    <col min="2" max="2" width="28" bestFit="1" customWidth="1"/>
    <col min="3" max="3" width="12.6328125" customWidth="1"/>
    <col min="4" max="4" width="10.36328125" bestFit="1" customWidth="1"/>
  </cols>
  <sheetData>
    <row r="1" spans="1:5" x14ac:dyDescent="0.35">
      <c r="A1" s="9" t="s">
        <v>26</v>
      </c>
      <c r="B1" s="9" t="s">
        <v>20</v>
      </c>
      <c r="C1" s="9" t="s">
        <v>1</v>
      </c>
      <c r="D1" s="9" t="s">
        <v>171</v>
      </c>
      <c r="E1" s="9" t="s">
        <v>27</v>
      </c>
    </row>
    <row r="2" spans="1:5" ht="27" x14ac:dyDescent="0.35">
      <c r="A2" s="8" t="s">
        <v>212</v>
      </c>
      <c r="B2" s="8" t="s">
        <v>155</v>
      </c>
      <c r="C2" s="8" t="s">
        <v>94</v>
      </c>
      <c r="D2" s="8" t="s">
        <v>213</v>
      </c>
      <c r="E2" s="8" t="s">
        <v>152</v>
      </c>
    </row>
    <row r="3" spans="1:5" x14ac:dyDescent="0.35">
      <c r="A3" s="8" t="s">
        <v>210</v>
      </c>
      <c r="B3" s="8" t="s">
        <v>156</v>
      </c>
      <c r="C3" s="8" t="s">
        <v>465</v>
      </c>
      <c r="D3" s="8" t="s">
        <v>157</v>
      </c>
      <c r="E3" s="8" t="s">
        <v>214</v>
      </c>
    </row>
    <row r="4" spans="1:5" x14ac:dyDescent="0.35">
      <c r="A4" s="8" t="s">
        <v>211</v>
      </c>
      <c r="B4" s="8" t="s">
        <v>158</v>
      </c>
      <c r="C4" s="8" t="s">
        <v>39</v>
      </c>
      <c r="D4" s="8" t="s">
        <v>164</v>
      </c>
      <c r="E4" s="8" t="s">
        <v>215</v>
      </c>
    </row>
    <row r="5" spans="1:5" x14ac:dyDescent="0.35">
      <c r="A5" s="8" t="s">
        <v>216</v>
      </c>
      <c r="B5" s="8" t="s">
        <v>466</v>
      </c>
      <c r="C5" s="8" t="s">
        <v>465</v>
      </c>
      <c r="D5" s="8" t="s">
        <v>166</v>
      </c>
      <c r="E5" s="8" t="s">
        <v>215</v>
      </c>
    </row>
    <row r="6" spans="1:5" x14ac:dyDescent="0.35">
      <c r="A6" s="8" t="s">
        <v>217</v>
      </c>
      <c r="B6" s="8" t="s">
        <v>467</v>
      </c>
      <c r="C6" s="8" t="s">
        <v>39</v>
      </c>
      <c r="D6" s="8" t="s">
        <v>157</v>
      </c>
      <c r="E6" s="8" t="s">
        <v>215</v>
      </c>
    </row>
    <row r="7" spans="1:5" ht="40.5" x14ac:dyDescent="0.35">
      <c r="A7" s="8" t="s">
        <v>218</v>
      </c>
      <c r="B7" s="8" t="s">
        <v>468</v>
      </c>
      <c r="C7" s="8" t="s">
        <v>469</v>
      </c>
      <c r="D7" s="8" t="s">
        <v>219</v>
      </c>
      <c r="E7" s="8" t="s">
        <v>220</v>
      </c>
    </row>
    <row r="8" spans="1:5" ht="40.5" x14ac:dyDescent="0.35">
      <c r="A8" s="8" t="s">
        <v>221</v>
      </c>
      <c r="B8" s="8" t="s">
        <v>159</v>
      </c>
      <c r="C8" s="8" t="s">
        <v>469</v>
      </c>
      <c r="D8" s="8" t="s">
        <v>164</v>
      </c>
      <c r="E8" s="8" t="s">
        <v>222</v>
      </c>
    </row>
    <row r="9" spans="1:5" ht="40.5" x14ac:dyDescent="0.35">
      <c r="A9" s="8" t="s">
        <v>223</v>
      </c>
      <c r="B9" s="8" t="s">
        <v>470</v>
      </c>
      <c r="C9" s="8" t="s">
        <v>469</v>
      </c>
      <c r="D9" s="8" t="s">
        <v>165</v>
      </c>
      <c r="E9" s="8" t="s">
        <v>214</v>
      </c>
    </row>
    <row r="10" spans="1:5" ht="27" x14ac:dyDescent="0.35">
      <c r="A10" s="8" t="s">
        <v>224</v>
      </c>
      <c r="B10" s="8" t="s">
        <v>160</v>
      </c>
      <c r="C10" s="8" t="s">
        <v>189</v>
      </c>
      <c r="D10" s="8" t="s">
        <v>165</v>
      </c>
      <c r="E10" s="8" t="s">
        <v>225</v>
      </c>
    </row>
    <row r="11" spans="1:5" ht="40.5" x14ac:dyDescent="0.35">
      <c r="A11" s="8" t="s">
        <v>226</v>
      </c>
      <c r="B11" s="8" t="s">
        <v>471</v>
      </c>
      <c r="C11" s="8" t="s">
        <v>469</v>
      </c>
      <c r="D11" s="8" t="s">
        <v>166</v>
      </c>
      <c r="E11" s="8" t="s">
        <v>220</v>
      </c>
    </row>
    <row r="12" spans="1:5" ht="27" x14ac:dyDescent="0.35">
      <c r="A12" s="8" t="s">
        <v>227</v>
      </c>
      <c r="B12" s="8" t="s">
        <v>472</v>
      </c>
      <c r="C12" s="8" t="s">
        <v>94</v>
      </c>
      <c r="D12" s="8" t="s">
        <v>164</v>
      </c>
      <c r="E12" s="8" t="s">
        <v>228</v>
      </c>
    </row>
    <row r="13" spans="1:5" ht="27" x14ac:dyDescent="0.35">
      <c r="A13" s="8" t="s">
        <v>229</v>
      </c>
      <c r="B13" s="8" t="s">
        <v>162</v>
      </c>
      <c r="C13" s="8" t="s">
        <v>53</v>
      </c>
      <c r="D13" s="8" t="s">
        <v>166</v>
      </c>
      <c r="E13" s="8" t="s">
        <v>182</v>
      </c>
    </row>
    <row r="14" spans="1:5" ht="27" x14ac:dyDescent="0.35">
      <c r="A14" s="8" t="s">
        <v>230</v>
      </c>
      <c r="B14" s="8" t="s">
        <v>473</v>
      </c>
      <c r="C14" s="8" t="s">
        <v>47</v>
      </c>
      <c r="D14" s="8" t="s">
        <v>219</v>
      </c>
      <c r="E14" s="8" t="s">
        <v>231</v>
      </c>
    </row>
    <row r="15" spans="1:5" ht="40.5" x14ac:dyDescent="0.35">
      <c r="A15" s="8" t="s">
        <v>232</v>
      </c>
      <c r="B15" s="8" t="s">
        <v>474</v>
      </c>
      <c r="C15" s="8" t="s">
        <v>469</v>
      </c>
      <c r="D15" s="8" t="s">
        <v>165</v>
      </c>
      <c r="E15" s="8" t="s">
        <v>225</v>
      </c>
    </row>
    <row r="16" spans="1:5" ht="27" x14ac:dyDescent="0.35">
      <c r="A16" s="8" t="s">
        <v>233</v>
      </c>
      <c r="B16" s="8" t="s">
        <v>475</v>
      </c>
      <c r="C16" s="8" t="s">
        <v>53</v>
      </c>
      <c r="D16" s="8" t="s">
        <v>165</v>
      </c>
      <c r="E16" s="8" t="s">
        <v>225</v>
      </c>
    </row>
    <row r="17" spans="1:5" x14ac:dyDescent="0.35">
      <c r="A17" s="8" t="s">
        <v>234</v>
      </c>
      <c r="B17" s="8" t="s">
        <v>480</v>
      </c>
      <c r="C17" s="8" t="s">
        <v>53</v>
      </c>
      <c r="D17" s="8" t="s">
        <v>165</v>
      </c>
      <c r="E17" s="8" t="s">
        <v>235</v>
      </c>
    </row>
    <row r="18" spans="1:5" ht="27" x14ac:dyDescent="0.35">
      <c r="A18" s="8" t="s">
        <v>236</v>
      </c>
      <c r="B18" s="8" t="s">
        <v>476</v>
      </c>
      <c r="C18" s="8" t="s">
        <v>187</v>
      </c>
      <c r="D18" s="8" t="s">
        <v>164</v>
      </c>
      <c r="E18" s="8" t="s">
        <v>225</v>
      </c>
    </row>
    <row r="19" spans="1:5" ht="27" x14ac:dyDescent="0.35">
      <c r="A19" s="8" t="s">
        <v>237</v>
      </c>
      <c r="B19" s="8" t="s">
        <v>477</v>
      </c>
      <c r="C19" s="8" t="s">
        <v>53</v>
      </c>
      <c r="D19" s="8" t="s">
        <v>165</v>
      </c>
      <c r="E19" s="8" t="s">
        <v>225</v>
      </c>
    </row>
    <row r="20" spans="1:5" ht="40.5" x14ac:dyDescent="0.35">
      <c r="A20" s="8" t="s">
        <v>238</v>
      </c>
      <c r="B20" s="8" t="s">
        <v>478</v>
      </c>
      <c r="C20" s="8" t="s">
        <v>53</v>
      </c>
      <c r="D20" s="8" t="s">
        <v>165</v>
      </c>
      <c r="E20" s="8" t="s">
        <v>239</v>
      </c>
    </row>
    <row r="21" spans="1:5" ht="40.5" x14ac:dyDescent="0.35">
      <c r="A21" s="8" t="s">
        <v>240</v>
      </c>
      <c r="B21" s="8" t="s">
        <v>479</v>
      </c>
      <c r="C21" s="8" t="s">
        <v>53</v>
      </c>
      <c r="D21" s="8" t="s">
        <v>165</v>
      </c>
      <c r="E21" s="8" t="s">
        <v>239</v>
      </c>
    </row>
    <row r="22" spans="1:5" ht="40.5" x14ac:dyDescent="0.35">
      <c r="A22" s="8" t="s">
        <v>241</v>
      </c>
      <c r="B22" s="8" t="s">
        <v>481</v>
      </c>
      <c r="C22" s="8" t="s">
        <v>53</v>
      </c>
      <c r="D22" s="8" t="s">
        <v>166</v>
      </c>
      <c r="E22" s="8" t="s">
        <v>239</v>
      </c>
    </row>
    <row r="23" spans="1:5" ht="27" x14ac:dyDescent="0.35">
      <c r="A23" s="8" t="s">
        <v>242</v>
      </c>
      <c r="B23" s="8" t="s">
        <v>163</v>
      </c>
      <c r="C23" s="8" t="s">
        <v>47</v>
      </c>
      <c r="D23" s="8" t="s">
        <v>166</v>
      </c>
      <c r="E23" s="8" t="s">
        <v>243</v>
      </c>
    </row>
    <row r="24" spans="1:5" ht="27" x14ac:dyDescent="0.35">
      <c r="A24" s="8" t="s">
        <v>244</v>
      </c>
      <c r="B24" s="8" t="s">
        <v>482</v>
      </c>
      <c r="C24" s="8" t="s">
        <v>94</v>
      </c>
      <c r="D24" s="8" t="s">
        <v>157</v>
      </c>
      <c r="E24" s="8" t="s">
        <v>245</v>
      </c>
    </row>
    <row r="25" spans="1:5" ht="27" x14ac:dyDescent="0.35">
      <c r="A25" s="8" t="s">
        <v>246</v>
      </c>
      <c r="B25" s="8" t="s">
        <v>483</v>
      </c>
      <c r="C25" s="8" t="s">
        <v>94</v>
      </c>
      <c r="D25" s="8" t="s">
        <v>247</v>
      </c>
      <c r="E25" s="8" t="s">
        <v>228</v>
      </c>
    </row>
    <row r="26" spans="1:5" ht="27" x14ac:dyDescent="0.35">
      <c r="A26" s="8" t="s">
        <v>248</v>
      </c>
      <c r="B26" s="8" t="s">
        <v>167</v>
      </c>
      <c r="C26" s="8" t="s">
        <v>47</v>
      </c>
      <c r="D26" s="8" t="s">
        <v>166</v>
      </c>
      <c r="E26" s="8" t="s">
        <v>243</v>
      </c>
    </row>
    <row r="27" spans="1:5" ht="27" x14ac:dyDescent="0.35">
      <c r="A27" s="8" t="s">
        <v>249</v>
      </c>
      <c r="B27" s="8" t="s">
        <v>484</v>
      </c>
      <c r="C27" s="8" t="s">
        <v>189</v>
      </c>
      <c r="D27" s="8" t="s">
        <v>157</v>
      </c>
      <c r="E27" s="8" t="s">
        <v>235</v>
      </c>
    </row>
    <row r="28" spans="1:5" ht="27" x14ac:dyDescent="0.35">
      <c r="A28" s="8" t="s">
        <v>250</v>
      </c>
      <c r="B28" s="8" t="s">
        <v>485</v>
      </c>
      <c r="C28" s="8" t="s">
        <v>94</v>
      </c>
      <c r="D28" s="8" t="s">
        <v>247</v>
      </c>
      <c r="E28" s="8" t="s">
        <v>251</v>
      </c>
    </row>
    <row r="29" spans="1:5" ht="27" x14ac:dyDescent="0.35">
      <c r="A29" s="8" t="s">
        <v>252</v>
      </c>
      <c r="B29" s="8" t="s">
        <v>168</v>
      </c>
      <c r="C29" s="8" t="s">
        <v>94</v>
      </c>
      <c r="D29" s="8" t="s">
        <v>247</v>
      </c>
      <c r="E29" s="8" t="s">
        <v>251</v>
      </c>
    </row>
    <row r="30" spans="1:5" ht="27" x14ac:dyDescent="0.35">
      <c r="A30" s="8" t="s">
        <v>253</v>
      </c>
      <c r="B30" s="8" t="s">
        <v>486</v>
      </c>
      <c r="C30" s="8" t="s">
        <v>39</v>
      </c>
      <c r="D30" s="8" t="s">
        <v>166</v>
      </c>
      <c r="E30" s="8" t="s">
        <v>243</v>
      </c>
    </row>
    <row r="31" spans="1:5" ht="27" x14ac:dyDescent="0.35">
      <c r="A31" s="8" t="s">
        <v>254</v>
      </c>
      <c r="B31" s="8" t="s">
        <v>169</v>
      </c>
      <c r="C31" s="8" t="s">
        <v>94</v>
      </c>
      <c r="D31" s="8" t="s">
        <v>166</v>
      </c>
      <c r="E31" s="8" t="s">
        <v>255</v>
      </c>
    </row>
    <row r="32" spans="1:5" ht="27" x14ac:dyDescent="0.35">
      <c r="A32" s="8" t="s">
        <v>256</v>
      </c>
      <c r="B32" s="8" t="s">
        <v>487</v>
      </c>
      <c r="C32" s="8" t="s">
        <v>94</v>
      </c>
      <c r="D32" s="8" t="s">
        <v>166</v>
      </c>
      <c r="E32" s="8" t="s">
        <v>257</v>
      </c>
    </row>
    <row r="33" spans="1:5" ht="40.5" x14ac:dyDescent="0.35">
      <c r="A33" s="8" t="s">
        <v>258</v>
      </c>
      <c r="B33" s="8" t="s">
        <v>170</v>
      </c>
      <c r="C33" s="8" t="s">
        <v>53</v>
      </c>
      <c r="D33" s="8" t="s">
        <v>166</v>
      </c>
      <c r="E33" s="8" t="s">
        <v>239</v>
      </c>
    </row>
    <row r="34" spans="1:5" x14ac:dyDescent="0.35">
      <c r="A34" s="8" t="s">
        <v>259</v>
      </c>
      <c r="B34" s="8" t="s">
        <v>488</v>
      </c>
      <c r="C34" s="8" t="s">
        <v>465</v>
      </c>
      <c r="D34" s="8" t="s">
        <v>157</v>
      </c>
      <c r="E34" s="8" t="s">
        <v>152</v>
      </c>
    </row>
    <row r="35" spans="1:5" ht="27" x14ac:dyDescent="0.35">
      <c r="A35" s="8" t="s">
        <v>260</v>
      </c>
      <c r="B35" s="8" t="s">
        <v>261</v>
      </c>
      <c r="C35" s="8" t="s">
        <v>94</v>
      </c>
      <c r="D35" s="8" t="s">
        <v>166</v>
      </c>
      <c r="E35" s="8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682F-D3C8-4835-A2B7-E5A34E7587DC}">
  <dimension ref="A1:G18"/>
  <sheetViews>
    <sheetView workbookViewId="0">
      <selection activeCell="I19" sqref="I19"/>
    </sheetView>
    <sheetView workbookViewId="1"/>
  </sheetViews>
  <sheetFormatPr defaultRowHeight="14.5" x14ac:dyDescent="0.35"/>
  <cols>
    <col min="1" max="1" width="12.453125" bestFit="1" customWidth="1"/>
    <col min="2" max="2" width="14.81640625" bestFit="1" customWidth="1"/>
    <col min="3" max="3" width="14.81640625" customWidth="1"/>
    <col min="4" max="4" width="17.7265625" customWidth="1"/>
    <col min="5" max="5" width="24.54296875" customWidth="1"/>
    <col min="6" max="6" width="12.453125" customWidth="1"/>
    <col min="7" max="7" width="12.81640625" customWidth="1"/>
  </cols>
  <sheetData>
    <row r="1" spans="1:7" ht="27" x14ac:dyDescent="0.35">
      <c r="A1" s="9" t="s">
        <v>1</v>
      </c>
      <c r="B1" s="9" t="s">
        <v>28</v>
      </c>
      <c r="C1" s="9" t="s">
        <v>448</v>
      </c>
      <c r="D1" s="9" t="s">
        <v>449</v>
      </c>
      <c r="E1" s="9" t="s">
        <v>452</v>
      </c>
      <c r="F1" s="9" t="s">
        <v>263</v>
      </c>
      <c r="G1" s="9" t="s">
        <v>453</v>
      </c>
    </row>
    <row r="2" spans="1:7" ht="27" x14ac:dyDescent="0.35">
      <c r="A2" s="8" t="s">
        <v>39</v>
      </c>
      <c r="B2" s="8">
        <v>12</v>
      </c>
      <c r="C2" s="8" t="s">
        <v>450</v>
      </c>
      <c r="D2" s="8" t="s">
        <v>433</v>
      </c>
      <c r="E2" s="8" t="s">
        <v>456</v>
      </c>
      <c r="F2" s="8" t="s">
        <v>392</v>
      </c>
      <c r="G2" s="8" t="s">
        <v>454</v>
      </c>
    </row>
    <row r="3" spans="1:7" ht="27" x14ac:dyDescent="0.35">
      <c r="A3" s="8" t="s">
        <v>39</v>
      </c>
      <c r="B3" s="8">
        <v>24</v>
      </c>
      <c r="C3" s="8" t="s">
        <v>451</v>
      </c>
      <c r="D3" s="8" t="s">
        <v>439</v>
      </c>
      <c r="E3" s="8" t="s">
        <v>457</v>
      </c>
      <c r="F3" s="8" t="s">
        <v>389</v>
      </c>
      <c r="G3" s="8" t="s">
        <v>455</v>
      </c>
    </row>
    <row r="4" spans="1:7" ht="27" x14ac:dyDescent="0.35">
      <c r="A4" s="8" t="s">
        <v>47</v>
      </c>
      <c r="B4" s="8">
        <v>12</v>
      </c>
      <c r="C4" s="8" t="s">
        <v>450</v>
      </c>
      <c r="D4" s="8" t="s">
        <v>434</v>
      </c>
      <c r="E4" s="8" t="s">
        <v>458</v>
      </c>
      <c r="F4" s="8" t="s">
        <v>393</v>
      </c>
      <c r="G4" s="8" t="s">
        <v>454</v>
      </c>
    </row>
    <row r="5" spans="1:7" ht="27" x14ac:dyDescent="0.35">
      <c r="A5" s="8" t="s">
        <v>47</v>
      </c>
      <c r="B5" s="8">
        <v>24</v>
      </c>
      <c r="C5" s="8" t="s">
        <v>451</v>
      </c>
      <c r="D5" s="8" t="s">
        <v>441</v>
      </c>
      <c r="E5" s="8" t="s">
        <v>459</v>
      </c>
      <c r="F5" s="8" t="s">
        <v>391</v>
      </c>
      <c r="G5" s="8" t="s">
        <v>455</v>
      </c>
    </row>
    <row r="6" spans="1:7" ht="40.5" x14ac:dyDescent="0.35">
      <c r="A6" s="8" t="s">
        <v>53</v>
      </c>
      <c r="B6" s="8">
        <v>24</v>
      </c>
      <c r="C6" s="8" t="s">
        <v>450</v>
      </c>
      <c r="D6" s="8" t="s">
        <v>435</v>
      </c>
      <c r="E6" s="8" t="s">
        <v>460</v>
      </c>
      <c r="F6" s="8" t="s">
        <v>385</v>
      </c>
      <c r="G6" s="8" t="s">
        <v>454</v>
      </c>
    </row>
    <row r="7" spans="1:7" ht="27" x14ac:dyDescent="0.35">
      <c r="A7" s="8" t="s">
        <v>53</v>
      </c>
      <c r="B7" s="8">
        <v>48</v>
      </c>
      <c r="C7" s="8" t="s">
        <v>451</v>
      </c>
      <c r="D7" s="8" t="s">
        <v>439</v>
      </c>
      <c r="E7" s="8" t="s">
        <v>457</v>
      </c>
      <c r="F7" s="8" t="s">
        <v>389</v>
      </c>
      <c r="G7" s="8" t="s">
        <v>455</v>
      </c>
    </row>
    <row r="8" spans="1:7" ht="54" x14ac:dyDescent="0.35">
      <c r="A8" s="8" t="s">
        <v>187</v>
      </c>
      <c r="B8" s="8">
        <v>48</v>
      </c>
      <c r="C8" s="8" t="s">
        <v>450</v>
      </c>
      <c r="D8" s="8" t="s">
        <v>436</v>
      </c>
      <c r="E8" s="8" t="s">
        <v>461</v>
      </c>
      <c r="F8" s="8" t="s">
        <v>386</v>
      </c>
      <c r="G8" s="8" t="s">
        <v>454</v>
      </c>
    </row>
    <row r="9" spans="1:7" ht="27" x14ac:dyDescent="0.35">
      <c r="A9" s="8" t="s">
        <v>187</v>
      </c>
      <c r="B9" s="8">
        <v>72</v>
      </c>
      <c r="C9" s="8" t="s">
        <v>451</v>
      </c>
      <c r="D9" s="8" t="s">
        <v>440</v>
      </c>
      <c r="E9" s="8" t="s">
        <v>462</v>
      </c>
      <c r="F9" s="8" t="s">
        <v>390</v>
      </c>
      <c r="G9" s="8" t="s">
        <v>455</v>
      </c>
    </row>
    <row r="10" spans="1:7" ht="54" x14ac:dyDescent="0.35">
      <c r="A10" s="8" t="s">
        <v>189</v>
      </c>
      <c r="B10" s="8">
        <v>72</v>
      </c>
      <c r="C10" s="8" t="s">
        <v>450</v>
      </c>
      <c r="D10" s="8" t="s">
        <v>437</v>
      </c>
      <c r="E10" s="8" t="s">
        <v>463</v>
      </c>
      <c r="F10" s="8" t="s">
        <v>387</v>
      </c>
      <c r="G10" s="8" t="s">
        <v>454</v>
      </c>
    </row>
    <row r="11" spans="1:7" ht="27" x14ac:dyDescent="0.35">
      <c r="A11" s="8" t="s">
        <v>189</v>
      </c>
      <c r="B11" s="8">
        <v>120</v>
      </c>
      <c r="C11" s="8" t="s">
        <v>451</v>
      </c>
      <c r="D11" s="8" t="s">
        <v>440</v>
      </c>
      <c r="E11" s="8" t="s">
        <v>462</v>
      </c>
      <c r="F11" s="8" t="s">
        <v>390</v>
      </c>
      <c r="G11" s="8" t="s">
        <v>455</v>
      </c>
    </row>
    <row r="12" spans="1:7" ht="40.5" x14ac:dyDescent="0.35">
      <c r="A12" s="8" t="s">
        <v>94</v>
      </c>
      <c r="B12" s="8">
        <v>12</v>
      </c>
      <c r="C12" s="8" t="s">
        <v>450</v>
      </c>
      <c r="D12" s="8" t="s">
        <v>438</v>
      </c>
      <c r="E12" s="8" t="s">
        <v>464</v>
      </c>
      <c r="F12" s="8" t="s">
        <v>388</v>
      </c>
      <c r="G12" s="8" t="s">
        <v>454</v>
      </c>
    </row>
    <row r="13" spans="1:7" ht="27" x14ac:dyDescent="0.35">
      <c r="A13" s="8" t="s">
        <v>94</v>
      </c>
      <c r="B13" s="8">
        <v>24</v>
      </c>
      <c r="C13" s="8" t="s">
        <v>451</v>
      </c>
      <c r="D13" s="8" t="s">
        <v>441</v>
      </c>
      <c r="E13" s="8" t="s">
        <v>459</v>
      </c>
      <c r="F13" s="8" t="s">
        <v>391</v>
      </c>
      <c r="G13" s="8" t="s">
        <v>455</v>
      </c>
    </row>
    <row r="14" spans="1:7" x14ac:dyDescent="0.35">
      <c r="E14" s="8"/>
    </row>
    <row r="15" spans="1:7" x14ac:dyDescent="0.35">
      <c r="E15" s="8"/>
    </row>
    <row r="16" spans="1:7" x14ac:dyDescent="0.35">
      <c r="E16" s="8"/>
    </row>
    <row r="17" spans="5:5" x14ac:dyDescent="0.35">
      <c r="E17" s="8"/>
    </row>
    <row r="18" spans="5:5" x14ac:dyDescent="0.35">
      <c r="E18" s="8"/>
    </row>
  </sheetData>
  <hyperlinks>
    <hyperlink ref="E2" r:id="rId1" xr:uid="{BC26ED4C-C716-45AA-8759-34659B2AE1CD}"/>
    <hyperlink ref="E3" r:id="rId2" xr:uid="{323EF156-F27E-4E52-9A84-01E414ED3541}"/>
    <hyperlink ref="E4" r:id="rId3" xr:uid="{188EB007-2038-491E-8CCB-805FC453C552}"/>
    <hyperlink ref="E5" r:id="rId4" xr:uid="{E86FC525-6383-45F6-9EAE-D39376344627}"/>
    <hyperlink ref="E6" r:id="rId5" xr:uid="{44455AC1-0450-4130-87CD-EEE0204977F3}"/>
    <hyperlink ref="E7" r:id="rId6" xr:uid="{358E3944-AEDB-4F2F-B9BA-1747C7DD55FD}"/>
    <hyperlink ref="E8" r:id="rId7" xr:uid="{6DF7A1C7-A09E-4E15-95E9-614C6CF6A8CA}"/>
    <hyperlink ref="E9" r:id="rId8" xr:uid="{F4E884F9-EB9A-4339-A347-7328CF847A7B}"/>
    <hyperlink ref="E10" r:id="rId9" xr:uid="{6D88DB35-7D4D-4102-8461-440595731D3C}"/>
    <hyperlink ref="E11" r:id="rId10" xr:uid="{0FBD6E0A-0E50-4307-8302-185CBEA8B084}"/>
    <hyperlink ref="E12" r:id="rId11" xr:uid="{23FE032C-DE7A-4485-8186-07C289DCAE7A}"/>
    <hyperlink ref="E13" r:id="rId12" xr:uid="{41292F37-BDBF-4D78-925C-F2E9017D551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0E3F-70F9-45C9-939D-A1124EA0CBFA}">
  <dimension ref="A1:J51"/>
  <sheetViews>
    <sheetView tabSelected="1" zoomScale="90" zoomScaleNormal="90" workbookViewId="0">
      <selection activeCell="H36" sqref="H36"/>
    </sheetView>
    <sheetView workbookViewId="1"/>
  </sheetViews>
  <sheetFormatPr defaultRowHeight="14.5" x14ac:dyDescent="0.35"/>
  <cols>
    <col min="1" max="1" width="14.6328125" customWidth="1"/>
    <col min="2" max="2" width="30.453125" bestFit="1" customWidth="1"/>
    <col min="3" max="3" width="18.54296875" bestFit="1" customWidth="1"/>
    <col min="5" max="5" width="14.54296875" customWidth="1"/>
    <col min="6" max="6" width="27.26953125" bestFit="1" customWidth="1"/>
    <col min="7" max="7" width="13.1796875" bestFit="1" customWidth="1"/>
    <col min="8" max="8" width="28" customWidth="1"/>
    <col min="9" max="9" width="9.81640625" bestFit="1" customWidth="1"/>
  </cols>
  <sheetData>
    <row r="1" spans="1:9" x14ac:dyDescent="0.35">
      <c r="A1" s="9" t="s">
        <v>366</v>
      </c>
      <c r="B1" s="9" t="s">
        <v>367</v>
      </c>
      <c r="C1" s="9" t="s">
        <v>368</v>
      </c>
      <c r="D1" s="9" t="s">
        <v>0</v>
      </c>
      <c r="E1" s="9" t="s">
        <v>372</v>
      </c>
      <c r="F1" s="9" t="s">
        <v>400</v>
      </c>
      <c r="G1" s="9" t="s">
        <v>408</v>
      </c>
      <c r="H1" s="9" t="s">
        <v>369</v>
      </c>
      <c r="I1" s="9" t="s">
        <v>370</v>
      </c>
    </row>
    <row r="2" spans="1:9" x14ac:dyDescent="0.35">
      <c r="A2" s="8" t="s">
        <v>215</v>
      </c>
      <c r="B2" s="8" t="str" cm="1">
        <f t="array" ref="B2">LOWER(TRIM(E2) &amp; "@" &amp; INDEX(_xlfn.TEXTSPLIT(H2, " "), 1) &amp; "." &amp; LEFT(A2) &amp; MID(A2, 5, LEN(A2) - 6))</f>
        <v>walter.white@abc.com</v>
      </c>
      <c r="C2" s="8" t="str">
        <f t="shared" ref="C2:C34" si="0">LOWER(TRIM(E2) &amp; "@" &amp; TEXT(100 * (ROW() - ROW($C$2)) + 123, "0;-0"))</f>
        <v>walter.white@123</v>
      </c>
      <c r="D2" s="8" t="s">
        <v>190</v>
      </c>
      <c r="E2" s="8" t="s">
        <v>409</v>
      </c>
      <c r="F2" s="8" t="s">
        <v>157</v>
      </c>
      <c r="G2" s="8" t="s">
        <v>157</v>
      </c>
      <c r="H2" s="8" t="s">
        <v>191</v>
      </c>
      <c r="I2" s="8" t="s">
        <v>174</v>
      </c>
    </row>
    <row r="3" spans="1:9" ht="14" customHeight="1" x14ac:dyDescent="0.35">
      <c r="A3" s="8" t="s">
        <v>215</v>
      </c>
      <c r="B3" s="8" t="str" cm="1">
        <f t="array" ref="B3">LOWER(TRIM(E3) &amp; "@" &amp; INDEX(_xlfn.TEXTSPLIT(H3, " "), 1) &amp; "." &amp; LEFT(A3) &amp; MID(A3, 5, LEN(A3) - 6))</f>
        <v>jessie.pinkman@xyz.com</v>
      </c>
      <c r="C3" s="8" t="str">
        <f t="shared" si="0"/>
        <v>jessie.pinkman@223</v>
      </c>
      <c r="D3" s="8" t="s">
        <v>196</v>
      </c>
      <c r="E3" s="8" t="s">
        <v>428</v>
      </c>
      <c r="F3" s="8" t="s">
        <v>157</v>
      </c>
      <c r="G3" s="8" t="s">
        <v>157</v>
      </c>
      <c r="H3" s="8" t="s">
        <v>197</v>
      </c>
      <c r="I3" s="8" t="s">
        <v>174</v>
      </c>
    </row>
    <row r="4" spans="1:9" x14ac:dyDescent="0.35">
      <c r="A4" s="8" t="s">
        <v>215</v>
      </c>
      <c r="B4" s="8" t="str" cm="1">
        <f t="array" ref="B4">LOWER(TRIM(E4) &amp; "@" &amp; INDEX(_xlfn.TEXTSPLIT(H4, " "), 1) &amp; "." &amp; LEFT(A4) &amp; MID(A4, 5, LEN(A4) - 6))</f>
        <v>saul.goodman@finserve.com</v>
      </c>
      <c r="C4" s="8" t="str">
        <f t="shared" si="0"/>
        <v>saul.goodman@323</v>
      </c>
      <c r="D4" s="8" t="s">
        <v>201</v>
      </c>
      <c r="E4" s="8" t="s">
        <v>429</v>
      </c>
      <c r="F4" s="8" t="s">
        <v>157</v>
      </c>
      <c r="G4" s="8" t="s">
        <v>157</v>
      </c>
      <c r="H4" s="8" t="s">
        <v>202</v>
      </c>
      <c r="I4" s="8" t="s">
        <v>174</v>
      </c>
    </row>
    <row r="5" spans="1:9" x14ac:dyDescent="0.35">
      <c r="A5" s="8" t="s">
        <v>215</v>
      </c>
      <c r="B5" s="8" t="str" cm="1">
        <f t="array" ref="B5">LOWER(TRIM(E5) &amp; "@" &amp; INDEX(_xlfn.TEXTSPLIT(H5, " "), 1) &amp; "." &amp; LEFT(A5) &amp; MID(A5, 5, LEN(A5) - 6))</f>
        <v>hank.schrader@retailcorp.com</v>
      </c>
      <c r="C5" s="8" t="str">
        <f t="shared" si="0"/>
        <v>hank.schrader@423</v>
      </c>
      <c r="D5" s="8" t="s">
        <v>203</v>
      </c>
      <c r="E5" s="8" t="s">
        <v>430</v>
      </c>
      <c r="F5" s="8" t="s">
        <v>157</v>
      </c>
      <c r="G5" s="8" t="s">
        <v>157</v>
      </c>
      <c r="H5" s="8" t="s">
        <v>204</v>
      </c>
      <c r="I5" s="8" t="s">
        <v>174</v>
      </c>
    </row>
    <row r="6" spans="1:9" x14ac:dyDescent="0.35">
      <c r="A6" s="8" t="s">
        <v>215</v>
      </c>
      <c r="B6" s="8" t="str" cm="1">
        <f t="array" ref="B6">LOWER(TRIM(E6) &amp; "@" &amp; INDEX(_xlfn.TEXTSPLIT(H6, " "), 1) &amp; "." &amp; LEFT(A6) &amp; MID(A6, 5, LEN(A6) - 6))</f>
        <v>gus.fring@techpark.com</v>
      </c>
      <c r="C6" s="8" t="str">
        <f t="shared" si="0"/>
        <v>gus.fring@523</v>
      </c>
      <c r="D6" s="8" t="s">
        <v>205</v>
      </c>
      <c r="E6" s="8" t="s">
        <v>431</v>
      </c>
      <c r="F6" s="8" t="s">
        <v>157</v>
      </c>
      <c r="G6" s="8" t="s">
        <v>157</v>
      </c>
      <c r="H6" s="8" t="s">
        <v>206</v>
      </c>
      <c r="I6" s="8" t="s">
        <v>174</v>
      </c>
    </row>
    <row r="7" spans="1:9" x14ac:dyDescent="0.35">
      <c r="A7" s="8" t="s">
        <v>378</v>
      </c>
      <c r="B7" s="8" t="str">
        <f>LOWER(TRIM(E7)&amp;"@"&amp;"telcotoday.com")</f>
        <v>sam.jackson@telcotoday.com</v>
      </c>
      <c r="C7" s="8" t="str">
        <f t="shared" si="0"/>
        <v>sam.jackson@623</v>
      </c>
      <c r="D7" s="8" t="s">
        <v>157</v>
      </c>
      <c r="E7" s="8" t="s">
        <v>432</v>
      </c>
      <c r="F7" s="8" t="s">
        <v>379</v>
      </c>
      <c r="G7" s="8" t="s">
        <v>157</v>
      </c>
      <c r="H7" s="8" t="s">
        <v>379</v>
      </c>
      <c r="I7" s="8" t="s">
        <v>174</v>
      </c>
    </row>
    <row r="8" spans="1:9" x14ac:dyDescent="0.35">
      <c r="A8" s="8" t="s">
        <v>383</v>
      </c>
      <c r="B8" s="8" t="str">
        <f t="shared" ref="B8:B34" si="1">LOWER(TRIM(E8)&amp;"@"&amp;"telcotoday.com")</f>
        <v>steve.har@telcotoday.com</v>
      </c>
      <c r="C8" s="8" t="str">
        <f t="shared" si="0"/>
        <v>steve.har@723</v>
      </c>
      <c r="D8" s="8" t="s">
        <v>157</v>
      </c>
      <c r="E8" s="8" t="s">
        <v>433</v>
      </c>
      <c r="F8" s="8" t="s">
        <v>402</v>
      </c>
      <c r="G8" s="8" t="s">
        <v>439</v>
      </c>
      <c r="H8" s="8" t="s">
        <v>392</v>
      </c>
      <c r="I8" s="8" t="s">
        <v>174</v>
      </c>
    </row>
    <row r="9" spans="1:9" x14ac:dyDescent="0.35">
      <c r="A9" s="8" t="s">
        <v>383</v>
      </c>
      <c r="B9" s="8" t="str">
        <f t="shared" si="1"/>
        <v>rohan.gupta@telcotoday.com</v>
      </c>
      <c r="C9" s="8" t="str">
        <f t="shared" si="0"/>
        <v>rohan.gupta@823</v>
      </c>
      <c r="D9" s="8" t="s">
        <v>157</v>
      </c>
      <c r="E9" s="8" t="s">
        <v>410</v>
      </c>
      <c r="F9" s="8" t="s">
        <v>442</v>
      </c>
      <c r="G9" s="8" t="str">
        <f>E8</f>
        <v>Steve.har</v>
      </c>
      <c r="H9" s="8" t="s">
        <v>392</v>
      </c>
      <c r="I9" s="8" t="s">
        <v>174</v>
      </c>
    </row>
    <row r="10" spans="1:9" x14ac:dyDescent="0.35">
      <c r="A10" s="8" t="s">
        <v>383</v>
      </c>
      <c r="B10" s="8" t="str">
        <f t="shared" si="1"/>
        <v>anjali.mehra@telcotoday.com</v>
      </c>
      <c r="C10" s="8" t="str">
        <f t="shared" si="0"/>
        <v>anjali.mehra@923</v>
      </c>
      <c r="D10" s="8" t="s">
        <v>157</v>
      </c>
      <c r="E10" s="8" t="s">
        <v>411</v>
      </c>
      <c r="F10" s="8" t="s">
        <v>442</v>
      </c>
      <c r="G10" s="8" t="str">
        <f>E9</f>
        <v>Rohan.Gupta</v>
      </c>
      <c r="H10" s="8" t="s">
        <v>392</v>
      </c>
      <c r="I10" s="8" t="s">
        <v>174</v>
      </c>
    </row>
    <row r="11" spans="1:9" ht="13" customHeight="1" x14ac:dyDescent="0.35">
      <c r="A11" s="8" t="s">
        <v>383</v>
      </c>
      <c r="B11" s="8" t="str">
        <f t="shared" si="1"/>
        <v>dustin.hen@telcotoday.com</v>
      </c>
      <c r="C11" s="8" t="str">
        <f t="shared" si="0"/>
        <v>dustin.hen@1023</v>
      </c>
      <c r="D11" s="8" t="s">
        <v>157</v>
      </c>
      <c r="E11" s="8" t="s">
        <v>434</v>
      </c>
      <c r="F11" s="8" t="s">
        <v>403</v>
      </c>
      <c r="G11" s="8" t="s">
        <v>441</v>
      </c>
      <c r="H11" s="8" t="s">
        <v>384</v>
      </c>
      <c r="I11" s="8" t="s">
        <v>174</v>
      </c>
    </row>
    <row r="12" spans="1:9" ht="13" customHeight="1" x14ac:dyDescent="0.35">
      <c r="A12" s="8" t="s">
        <v>383</v>
      </c>
      <c r="B12" s="8" t="str">
        <f t="shared" si="1"/>
        <v>sneha.iyer@telcotoday.com</v>
      </c>
      <c r="C12" s="8" t="str">
        <f t="shared" si="0"/>
        <v>sneha.iyer@1123</v>
      </c>
      <c r="D12" s="8" t="s">
        <v>157</v>
      </c>
      <c r="E12" s="8" t="s">
        <v>412</v>
      </c>
      <c r="F12" s="8" t="s">
        <v>443</v>
      </c>
      <c r="G12" s="8" t="str">
        <f>E11</f>
        <v>Dustin.hen</v>
      </c>
      <c r="H12" s="8" t="s">
        <v>393</v>
      </c>
      <c r="I12" s="8" t="s">
        <v>174</v>
      </c>
    </row>
    <row r="13" spans="1:9" ht="13" customHeight="1" x14ac:dyDescent="0.35">
      <c r="A13" s="8" t="s">
        <v>383</v>
      </c>
      <c r="B13" s="8" t="str">
        <f t="shared" si="1"/>
        <v>mohit.jain@telcotoday.com</v>
      </c>
      <c r="C13" s="8" t="str">
        <f t="shared" si="0"/>
        <v>mohit.jain@1223</v>
      </c>
      <c r="D13" s="8" t="s">
        <v>157</v>
      </c>
      <c r="E13" s="8" t="s">
        <v>413</v>
      </c>
      <c r="F13" s="8" t="s">
        <v>443</v>
      </c>
      <c r="G13" s="8" t="str">
        <f>E12</f>
        <v>Sneha.Iyer</v>
      </c>
      <c r="H13" s="8" t="s">
        <v>393</v>
      </c>
      <c r="I13" s="8" t="s">
        <v>174</v>
      </c>
    </row>
    <row r="14" spans="1:9" x14ac:dyDescent="0.35">
      <c r="A14" s="8" t="s">
        <v>383</v>
      </c>
      <c r="B14" s="8" t="str">
        <f t="shared" si="1"/>
        <v>lucas.sin@telcotoday.com</v>
      </c>
      <c r="C14" s="8" t="str">
        <f t="shared" si="0"/>
        <v>lucas.sin@1323</v>
      </c>
      <c r="D14" s="8" t="s">
        <v>157</v>
      </c>
      <c r="E14" s="8" t="s">
        <v>435</v>
      </c>
      <c r="F14" s="8" t="s">
        <v>404</v>
      </c>
      <c r="G14" s="8" t="s">
        <v>439</v>
      </c>
      <c r="H14" s="8" t="s">
        <v>385</v>
      </c>
      <c r="I14" s="8" t="s">
        <v>174</v>
      </c>
    </row>
    <row r="15" spans="1:9" x14ac:dyDescent="0.35">
      <c r="A15" s="8" t="s">
        <v>383</v>
      </c>
      <c r="B15" s="8" t="str">
        <f t="shared" si="1"/>
        <v>karthik.rao@telcotoday.com</v>
      </c>
      <c r="C15" s="8" t="str">
        <f t="shared" si="0"/>
        <v>karthik.rao@1423</v>
      </c>
      <c r="D15" s="8" t="s">
        <v>157</v>
      </c>
      <c r="E15" s="8" t="s">
        <v>414</v>
      </c>
      <c r="F15" s="8" t="s">
        <v>447</v>
      </c>
      <c r="G15" s="8" t="str">
        <f>E14</f>
        <v>Lucas.sin</v>
      </c>
      <c r="H15" s="8" t="s">
        <v>394</v>
      </c>
      <c r="I15" s="8" t="s">
        <v>174</v>
      </c>
    </row>
    <row r="16" spans="1:9" x14ac:dyDescent="0.35">
      <c r="A16" s="8" t="s">
        <v>383</v>
      </c>
      <c r="B16" s="8" t="str">
        <f t="shared" si="1"/>
        <v>neelam.singh@telcotoday.com</v>
      </c>
      <c r="C16" s="8" t="str">
        <f t="shared" si="0"/>
        <v>neelam.singh@1523</v>
      </c>
      <c r="D16" s="8" t="s">
        <v>157</v>
      </c>
      <c r="E16" s="8" t="s">
        <v>415</v>
      </c>
      <c r="F16" s="8" t="s">
        <v>447</v>
      </c>
      <c r="G16" s="8" t="str">
        <f>E15</f>
        <v>Karthik.Rao</v>
      </c>
      <c r="H16" s="8" t="s">
        <v>394</v>
      </c>
      <c r="I16" s="8" t="s">
        <v>174</v>
      </c>
    </row>
    <row r="17" spans="1:9" x14ac:dyDescent="0.35">
      <c r="A17" s="8" t="s">
        <v>383</v>
      </c>
      <c r="B17" s="8" t="str">
        <f t="shared" si="1"/>
        <v>max.mad@telcotoday.com</v>
      </c>
      <c r="C17" s="8" t="str">
        <f t="shared" si="0"/>
        <v>max.mad@1623</v>
      </c>
      <c r="D17" s="8" t="s">
        <v>157</v>
      </c>
      <c r="E17" s="8" t="s">
        <v>436</v>
      </c>
      <c r="F17" s="8" t="s">
        <v>405</v>
      </c>
      <c r="G17" s="8" t="s">
        <v>440</v>
      </c>
      <c r="H17" s="8" t="s">
        <v>386</v>
      </c>
      <c r="I17" s="8" t="s">
        <v>174</v>
      </c>
    </row>
    <row r="18" spans="1:9" x14ac:dyDescent="0.35">
      <c r="A18" s="8" t="s">
        <v>383</v>
      </c>
      <c r="B18" s="8" t="str">
        <f t="shared" si="1"/>
        <v>arjun.malhotra@telcotoday.com</v>
      </c>
      <c r="C18" s="8" t="str">
        <f t="shared" si="0"/>
        <v>arjun.malhotra@1723</v>
      </c>
      <c r="D18" s="8" t="s">
        <v>157</v>
      </c>
      <c r="E18" s="8" t="s">
        <v>416</v>
      </c>
      <c r="F18" s="8" t="s">
        <v>446</v>
      </c>
      <c r="G18" s="8" t="str">
        <f>E17</f>
        <v>Max.mad</v>
      </c>
      <c r="H18" s="8" t="s">
        <v>395</v>
      </c>
      <c r="I18" s="8" t="s">
        <v>174</v>
      </c>
    </row>
    <row r="19" spans="1:9" x14ac:dyDescent="0.35">
      <c r="A19" s="8" t="s">
        <v>383</v>
      </c>
      <c r="B19" s="8" t="str">
        <f t="shared" si="1"/>
        <v>priti.kulkarni@telcotoday.com</v>
      </c>
      <c r="C19" s="8" t="str">
        <f t="shared" si="0"/>
        <v>priti.kulkarni@1823</v>
      </c>
      <c r="D19" s="8" t="s">
        <v>157</v>
      </c>
      <c r="E19" s="8" t="s">
        <v>417</v>
      </c>
      <c r="F19" s="8" t="s">
        <v>446</v>
      </c>
      <c r="G19" s="8" t="str">
        <f t="shared" ref="G19:G21" si="2">E18</f>
        <v>Arjun.Malhotra</v>
      </c>
      <c r="H19" s="8" t="s">
        <v>395</v>
      </c>
      <c r="I19" s="8" t="s">
        <v>174</v>
      </c>
    </row>
    <row r="20" spans="1:9" x14ac:dyDescent="0.35">
      <c r="A20" s="8" t="s">
        <v>383</v>
      </c>
      <c r="B20" s="8" t="str">
        <f t="shared" si="1"/>
        <v>suresh.nair@telcotoday.com</v>
      </c>
      <c r="C20" s="8" t="str">
        <f t="shared" si="0"/>
        <v>suresh.nair@1923</v>
      </c>
      <c r="D20" s="8" t="s">
        <v>157</v>
      </c>
      <c r="E20" s="8" t="s">
        <v>418</v>
      </c>
      <c r="F20" s="8" t="s">
        <v>445</v>
      </c>
      <c r="G20" s="8" t="str">
        <f t="shared" si="2"/>
        <v>Priti.Kulkarni</v>
      </c>
      <c r="H20" s="8" t="s">
        <v>396</v>
      </c>
      <c r="I20" s="8" t="s">
        <v>174</v>
      </c>
    </row>
    <row r="21" spans="1:9" x14ac:dyDescent="0.35">
      <c r="A21" s="8" t="s">
        <v>383</v>
      </c>
      <c r="B21" s="8" t="str">
        <f t="shared" si="1"/>
        <v>deepa.menon@telcotoday.com</v>
      </c>
      <c r="C21" s="8" t="str">
        <f t="shared" si="0"/>
        <v>deepa.menon@2023</v>
      </c>
      <c r="D21" s="8" t="s">
        <v>157</v>
      </c>
      <c r="E21" s="8" t="s">
        <v>419</v>
      </c>
      <c r="F21" s="8" t="s">
        <v>445</v>
      </c>
      <c r="G21" s="8" t="str">
        <f t="shared" si="2"/>
        <v>Suresh.Nair</v>
      </c>
      <c r="H21" s="8" t="s">
        <v>396</v>
      </c>
      <c r="I21" s="8" t="s">
        <v>174</v>
      </c>
    </row>
    <row r="22" spans="1:9" x14ac:dyDescent="0.35">
      <c r="A22" s="8" t="s">
        <v>383</v>
      </c>
      <c r="B22" s="8" t="str">
        <f t="shared" si="1"/>
        <v>will.kol@telcotoday.com</v>
      </c>
      <c r="C22" s="8" t="str">
        <f t="shared" si="0"/>
        <v>will.kol@2123</v>
      </c>
      <c r="D22" s="8" t="s">
        <v>157</v>
      </c>
      <c r="E22" s="8" t="s">
        <v>437</v>
      </c>
      <c r="F22" s="8" t="s">
        <v>406</v>
      </c>
      <c r="G22" s="8" t="s">
        <v>440</v>
      </c>
      <c r="H22" s="8" t="s">
        <v>387</v>
      </c>
      <c r="I22" s="8" t="s">
        <v>174</v>
      </c>
    </row>
    <row r="23" spans="1:9" x14ac:dyDescent="0.35">
      <c r="A23" s="8" t="s">
        <v>383</v>
      </c>
      <c r="B23" s="8" t="str">
        <f t="shared" si="1"/>
        <v>rahul.verma@telcotoday.com</v>
      </c>
      <c r="C23" s="8" t="str">
        <f t="shared" si="0"/>
        <v>rahul.verma@2223</v>
      </c>
      <c r="D23" s="8" t="s">
        <v>157</v>
      </c>
      <c r="E23" s="8" t="s">
        <v>420</v>
      </c>
      <c r="F23" s="8" t="s">
        <v>446</v>
      </c>
      <c r="G23" s="8" t="str">
        <f>E22</f>
        <v>Will.kol</v>
      </c>
      <c r="H23" s="8" t="s">
        <v>397</v>
      </c>
      <c r="I23" s="8" t="s">
        <v>174</v>
      </c>
    </row>
    <row r="24" spans="1:9" x14ac:dyDescent="0.35">
      <c r="A24" s="8" t="s">
        <v>383</v>
      </c>
      <c r="B24" s="8" t="str">
        <f t="shared" si="1"/>
        <v>nisha.kapoor@telcotoday.com</v>
      </c>
      <c r="C24" s="8" t="str">
        <f t="shared" si="0"/>
        <v>nisha.kapoor@2323</v>
      </c>
      <c r="D24" s="8" t="s">
        <v>157</v>
      </c>
      <c r="E24" s="8" t="s">
        <v>421</v>
      </c>
      <c r="F24" s="8" t="s">
        <v>446</v>
      </c>
      <c r="G24" s="8" t="str">
        <f t="shared" ref="G24:G26" si="3">E23</f>
        <v>Rahul.Verma</v>
      </c>
      <c r="H24" s="8" t="s">
        <v>397</v>
      </c>
      <c r="I24" s="8" t="s">
        <v>174</v>
      </c>
    </row>
    <row r="25" spans="1:9" x14ac:dyDescent="0.35">
      <c r="A25" s="8" t="s">
        <v>383</v>
      </c>
      <c r="B25" s="8" t="str">
        <f t="shared" si="1"/>
        <v>vinod.sharma@telcotoday.com</v>
      </c>
      <c r="C25" s="8" t="str">
        <f t="shared" si="0"/>
        <v>vinod.sharma@2423</v>
      </c>
      <c r="D25" s="8" t="s">
        <v>157</v>
      </c>
      <c r="E25" s="8" t="s">
        <v>422</v>
      </c>
      <c r="F25" s="8" t="s">
        <v>445</v>
      </c>
      <c r="G25" s="8" t="str">
        <f t="shared" si="3"/>
        <v>Nisha.Kapoor</v>
      </c>
      <c r="H25" s="8" t="s">
        <v>398</v>
      </c>
      <c r="I25" s="8" t="s">
        <v>174</v>
      </c>
    </row>
    <row r="26" spans="1:9" x14ac:dyDescent="0.35">
      <c r="A26" s="8" t="s">
        <v>383</v>
      </c>
      <c r="B26" s="8" t="str">
        <f t="shared" si="1"/>
        <v>kavita.desai@telcotoday.com</v>
      </c>
      <c r="C26" s="8" t="str">
        <f t="shared" si="0"/>
        <v>kavita.desai@2523</v>
      </c>
      <c r="D26" s="8" t="s">
        <v>157</v>
      </c>
      <c r="E26" s="8" t="s">
        <v>423</v>
      </c>
      <c r="F26" s="8" t="s">
        <v>445</v>
      </c>
      <c r="G26" s="8" t="str">
        <f t="shared" si="3"/>
        <v>Vinod.Sharma</v>
      </c>
      <c r="H26" s="8" t="s">
        <v>398</v>
      </c>
      <c r="I26" s="8" t="s">
        <v>174</v>
      </c>
    </row>
    <row r="27" spans="1:9" x14ac:dyDescent="0.35">
      <c r="A27" s="8" t="s">
        <v>383</v>
      </c>
      <c r="B27" s="8" t="str">
        <f t="shared" si="1"/>
        <v>mike.dor@telcotoday.com</v>
      </c>
      <c r="C27" s="8" t="str">
        <f t="shared" si="0"/>
        <v>mike.dor@2623</v>
      </c>
      <c r="D27" s="8" t="s">
        <v>157</v>
      </c>
      <c r="E27" s="8" t="s">
        <v>438</v>
      </c>
      <c r="F27" s="8" t="s">
        <v>407</v>
      </c>
      <c r="G27" s="8" t="s">
        <v>441</v>
      </c>
      <c r="H27" s="8" t="s">
        <v>388</v>
      </c>
      <c r="I27" s="8" t="s">
        <v>174</v>
      </c>
    </row>
    <row r="28" spans="1:9" x14ac:dyDescent="0.35">
      <c r="A28" s="8" t="s">
        <v>383</v>
      </c>
      <c r="B28" s="8" t="str">
        <f t="shared" si="1"/>
        <v>ramesh.patil@telcotoday.com</v>
      </c>
      <c r="C28" s="8" t="str">
        <f t="shared" si="0"/>
        <v>ramesh.patil@2723</v>
      </c>
      <c r="D28" s="8" t="s">
        <v>157</v>
      </c>
      <c r="E28" s="8" t="s">
        <v>424</v>
      </c>
      <c r="F28" s="8" t="s">
        <v>445</v>
      </c>
      <c r="G28" s="8" t="str">
        <f>E27</f>
        <v>Mike.dor</v>
      </c>
      <c r="H28" s="8" t="s">
        <v>399</v>
      </c>
      <c r="I28" s="8" t="s">
        <v>174</v>
      </c>
    </row>
    <row r="29" spans="1:9" x14ac:dyDescent="0.35">
      <c r="A29" s="8" t="s">
        <v>383</v>
      </c>
      <c r="B29" s="8" t="str">
        <f t="shared" si="1"/>
        <v>sunita.roy@telcotoday.com</v>
      </c>
      <c r="C29" s="8" t="str">
        <f t="shared" si="0"/>
        <v>sunita.roy@2823</v>
      </c>
      <c r="D29" s="8" t="s">
        <v>157</v>
      </c>
      <c r="E29" s="8" t="s">
        <v>425</v>
      </c>
      <c r="F29" s="8" t="s">
        <v>445</v>
      </c>
      <c r="G29" s="8" t="str">
        <f t="shared" ref="G29:G31" si="4">E28</f>
        <v>Ramesh.Patil</v>
      </c>
      <c r="H29" s="8" t="s">
        <v>399</v>
      </c>
      <c r="I29" s="8" t="s">
        <v>174</v>
      </c>
    </row>
    <row r="30" spans="1:9" x14ac:dyDescent="0.35">
      <c r="A30" s="8" t="s">
        <v>383</v>
      </c>
      <c r="B30" s="8" t="str">
        <f t="shared" si="1"/>
        <v>manish.khanna@telcotoday.com</v>
      </c>
      <c r="C30" s="8" t="str">
        <f t="shared" si="0"/>
        <v>manish.khanna@2923</v>
      </c>
      <c r="D30" s="8" t="s">
        <v>157</v>
      </c>
      <c r="E30" s="8" t="s">
        <v>426</v>
      </c>
      <c r="F30" s="8" t="s">
        <v>444</v>
      </c>
      <c r="G30" s="8" t="str">
        <f t="shared" si="4"/>
        <v>Sunita.Roy</v>
      </c>
      <c r="H30" s="8" t="s">
        <v>401</v>
      </c>
      <c r="I30" s="8" t="s">
        <v>174</v>
      </c>
    </row>
    <row r="31" spans="1:9" x14ac:dyDescent="0.35">
      <c r="A31" s="8" t="s">
        <v>383</v>
      </c>
      <c r="B31" s="8" t="str">
        <f t="shared" si="1"/>
        <v>ritu.arora@telcotoday.com</v>
      </c>
      <c r="C31" s="8" t="str">
        <f t="shared" si="0"/>
        <v>ritu.arora@3023</v>
      </c>
      <c r="D31" s="8" t="s">
        <v>157</v>
      </c>
      <c r="E31" s="8" t="s">
        <v>427</v>
      </c>
      <c r="F31" s="8" t="s">
        <v>444</v>
      </c>
      <c r="G31" s="8" t="str">
        <f t="shared" si="4"/>
        <v>Manish.Khanna</v>
      </c>
      <c r="H31" s="8" t="s">
        <v>401</v>
      </c>
      <c r="I31" s="8" t="s">
        <v>174</v>
      </c>
    </row>
    <row r="32" spans="1:9" x14ac:dyDescent="0.35">
      <c r="A32" s="8" t="s">
        <v>380</v>
      </c>
      <c r="B32" s="8" t="str">
        <f t="shared" si="1"/>
        <v>jason.y@telcotoday.com</v>
      </c>
      <c r="C32" s="8" t="str">
        <f t="shared" si="0"/>
        <v>jason.y@3123</v>
      </c>
      <c r="D32" s="8" t="s">
        <v>157</v>
      </c>
      <c r="E32" s="8" t="s">
        <v>439</v>
      </c>
      <c r="F32" s="8" t="s">
        <v>455</v>
      </c>
      <c r="G32" s="8" t="str">
        <f>E7</f>
        <v>Sam.jackson</v>
      </c>
      <c r="H32" s="8" t="s">
        <v>389</v>
      </c>
      <c r="I32" s="8" t="s">
        <v>174</v>
      </c>
    </row>
    <row r="33" spans="1:10" x14ac:dyDescent="0.35">
      <c r="A33" s="8" t="s">
        <v>380</v>
      </c>
      <c r="B33" s="8" t="str">
        <f t="shared" si="1"/>
        <v>simon.c@telcotoday.com</v>
      </c>
      <c r="C33" s="8" t="str">
        <f t="shared" si="0"/>
        <v>simon.c@3223</v>
      </c>
      <c r="D33" s="8" t="s">
        <v>157</v>
      </c>
      <c r="E33" s="8" t="s">
        <v>440</v>
      </c>
      <c r="F33" s="8" t="s">
        <v>455</v>
      </c>
      <c r="G33" s="8" t="str">
        <f t="shared" ref="G33:G34" si="5">E8</f>
        <v>Steve.har</v>
      </c>
      <c r="H33" s="8" t="s">
        <v>390</v>
      </c>
      <c r="I33" s="8" t="s">
        <v>174</v>
      </c>
    </row>
    <row r="34" spans="1:10" x14ac:dyDescent="0.35">
      <c r="A34" s="8" t="s">
        <v>380</v>
      </c>
      <c r="B34" s="8" t="str">
        <f t="shared" si="1"/>
        <v>paul.p@telcotoday.com</v>
      </c>
      <c r="C34" s="8" t="str">
        <f t="shared" si="0"/>
        <v>paul.p@3323</v>
      </c>
      <c r="D34" s="8" t="s">
        <v>157</v>
      </c>
      <c r="E34" s="8" t="s">
        <v>441</v>
      </c>
      <c r="F34" s="8" t="s">
        <v>455</v>
      </c>
      <c r="G34" s="8" t="str">
        <f t="shared" si="5"/>
        <v>Rohan.Gupta</v>
      </c>
      <c r="H34" s="8" t="s">
        <v>391</v>
      </c>
      <c r="I34" s="8" t="s">
        <v>174</v>
      </c>
    </row>
    <row r="35" spans="1:10" x14ac:dyDescent="0.35">
      <c r="A35" s="8"/>
      <c r="B35" s="8"/>
      <c r="C35" s="8"/>
      <c r="D35" s="8"/>
      <c r="E35" s="8"/>
      <c r="F35" s="8"/>
      <c r="G35" s="8"/>
    </row>
    <row r="36" spans="1:10" x14ac:dyDescent="0.35">
      <c r="J36" s="8"/>
    </row>
    <row r="37" spans="1:10" x14ac:dyDescent="0.35">
      <c r="J37" s="8"/>
    </row>
    <row r="38" spans="1:10" x14ac:dyDescent="0.35">
      <c r="J38" s="8"/>
    </row>
    <row r="39" spans="1:10" x14ac:dyDescent="0.35">
      <c r="J39" s="8"/>
    </row>
    <row r="40" spans="1:10" x14ac:dyDescent="0.35">
      <c r="J40" s="8"/>
    </row>
    <row r="41" spans="1:10" x14ac:dyDescent="0.35">
      <c r="J41" s="8"/>
    </row>
    <row r="42" spans="1:10" x14ac:dyDescent="0.35">
      <c r="J42" s="8"/>
    </row>
    <row r="43" spans="1:10" x14ac:dyDescent="0.35">
      <c r="J43" s="8"/>
    </row>
    <row r="44" spans="1:10" x14ac:dyDescent="0.35">
      <c r="J44" s="8"/>
    </row>
    <row r="45" spans="1:10" x14ac:dyDescent="0.35">
      <c r="J45" s="8"/>
    </row>
    <row r="46" spans="1:10" x14ac:dyDescent="0.35">
      <c r="J46" s="8"/>
    </row>
    <row r="47" spans="1:10" x14ac:dyDescent="0.35">
      <c r="J47" s="8"/>
    </row>
    <row r="48" spans="1:10" x14ac:dyDescent="0.35">
      <c r="J48" s="8"/>
    </row>
    <row r="49" spans="9:10" x14ac:dyDescent="0.35">
      <c r="J49" s="8"/>
    </row>
    <row r="50" spans="9:10" x14ac:dyDescent="0.35">
      <c r="I50" s="8"/>
    </row>
    <row r="51" spans="9:10" x14ac:dyDescent="0.35">
      <c r="I51" s="8"/>
    </row>
  </sheetData>
  <hyperlinks>
    <hyperlink ref="C2" r:id="rId1" display="alex@123" xr:uid="{16C52D5C-F4D9-4351-860C-DE5D714A85F2}"/>
    <hyperlink ref="C3" r:id="rId2" display="barbara@223" xr:uid="{AA8ACED0-5ADC-42B4-A044-0C377D91B862}"/>
    <hyperlink ref="C7" r:id="rId3" display="sam@623" xr:uid="{CA7271B8-6849-4477-A2EE-F2474621F598}"/>
    <hyperlink ref="B2" r:id="rId4" display="alex@abc.com" xr:uid="{66C78CA4-ED93-42C6-9125-A019B992D29C}"/>
    <hyperlink ref="B3" r:id="rId5" display="barbara@xyz.com" xr:uid="{5073C2F4-6342-4DD2-9D96-5541F8EED054}"/>
    <hyperlink ref="C8" r:id="rId6" display="steve@823" xr:uid="{FC344FB0-4621-4CE5-92AF-EDFD874DFC2E}"/>
    <hyperlink ref="C9:C34" r:id="rId7" display="steve@823" xr:uid="{915517D2-2A0D-4DA8-A21C-D9F9D6E6672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Process_Task_Dictionary</vt:lpstr>
      <vt:lpstr>Orders_Master</vt:lpstr>
      <vt:lpstr>Order_Task_Execution</vt:lpstr>
      <vt:lpstr>Hold_Reason_LOV</vt:lpstr>
      <vt:lpstr>Escalation_Matrix</vt:lpstr>
      <vt:lpstr>Login_Credentials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Sabat, Sidharth A.</dc:creator>
  <cp:lastModifiedBy>Sabat, Sidharth A.</cp:lastModifiedBy>
  <dcterms:created xsi:type="dcterms:W3CDTF">2025-12-15T17:56:38Z</dcterms:created>
  <dcterms:modified xsi:type="dcterms:W3CDTF">2025-12-19T06:07:15Z</dcterms:modified>
</cp:coreProperties>
</file>